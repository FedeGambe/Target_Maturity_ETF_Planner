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/YYYY"/>
    <numFmt numFmtId="166" formatCode="0.0"/>
    <numFmt numFmtId="167" formatCode="+0.00%;-0.00%;0.00%"/>
    <numFmt numFmtId="168" formatCode="0.0%"/>
    <numFmt numFmtId="169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168" fontId="0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0" fontId="1" fillId="0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ndimenti" displayName="Rendimenti" ref="A4:Q58" headerRowCount="1">
  <autoFilter ref="A4:Q58"/>
  <tableColumns count="17">
    <tableColumn id="1" name="Emittente"/>
    <tableColumn id="2" name="Nome"/>
    <tableColumn id="3" name="ISIN"/>
    <tableColumn id="4" name="Tipo"/>
    <tableColumn id="5" name="Proventi"/>
    <tableColumn id="6" name="Scadenza"/>
    <tableColumn id="7" name="Anni a scadenza"/>
    <tableColumn id="8" name="Cedola"/>
    <tableColumn id="9" name="Rendimento lordo"/>
    <tableColumn id="10" name="Var giorno prec"/>
    <tableColumn id="11" name="Var mese prec"/>
    <tableColumn id="12" name="Var trimestre prec"/>
    <tableColumn id="13" name="TER"/>
    <tableColumn id="14" name="Aliquota"/>
    <tableColumn id="15" name="Rendimento netto"/>
    <tableColumn id="16" name="Netto TER e tasse"/>
    <tableColumn id="17" name="NAV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8" customWidth="1" min="2" max="2"/>
    <col width="14" customWidth="1" min="3" max="3"/>
    <col width="7" customWidth="1" min="4" max="4"/>
    <col width="9" customWidth="1" min="5" max="5"/>
    <col width="11" customWidth="1" min="6" max="6"/>
    <col width="10" customWidth="1" min="7" max="7"/>
    <col width="8" customWidth="1" min="8" max="8"/>
    <col width="11" customWidth="1" min="9" max="9"/>
    <col width="11" customWidth="1" min="10" max="10"/>
    <col width="11" customWidth="1" min="11" max="11"/>
    <col width="13" customWidth="1" min="12" max="12"/>
    <col width="7" customWidth="1" min="13" max="13"/>
    <col width="9" customWidth="1" min="14" max="14"/>
    <col width="11" customWidth="1" min="15" max="15"/>
    <col width="12" customWidth="1" min="16" max="16"/>
    <col width="9" customWidth="1" min="17" max="17"/>
  </cols>
  <sheetData>
    <row r="1">
      <c r="A1" s="1" t="inlineStr">
        <is>
          <t>Aliquota Govt</t>
        </is>
      </c>
      <c r="B1" s="2" t="n">
        <v>0.125</v>
      </c>
    </row>
    <row r="2">
      <c r="A2" s="1" t="inlineStr">
        <is>
          <t>Aliquota Corp</t>
        </is>
      </c>
      <c r="B2" s="2" t="n">
        <v>0.26</v>
      </c>
    </row>
    <row r="3">
      <c r="A3" s="3" t="inlineStr">
        <is>
          <t>Aggiornato il 28/10/2026 09:03 da yield_etf.csv</t>
        </is>
      </c>
    </row>
    <row r="4" ht="32" customHeight="1">
      <c r="A4" s="4" t="inlineStr">
        <is>
          <t>Emittente</t>
        </is>
      </c>
      <c r="B4" s="4" t="inlineStr">
        <is>
          <t>Nome</t>
        </is>
      </c>
      <c r="C4" s="4" t="inlineStr">
        <is>
          <t>ISIN</t>
        </is>
      </c>
      <c r="D4" s="4" t="inlineStr">
        <is>
          <t>Tipo</t>
        </is>
      </c>
      <c r="E4" s="4" t="inlineStr">
        <is>
          <t>Proventi</t>
        </is>
      </c>
      <c r="F4" s="4" t="inlineStr">
        <is>
          <t>Scadenza</t>
        </is>
      </c>
      <c r="G4" s="4" t="inlineStr">
        <is>
          <t>Anni a scadenza</t>
        </is>
      </c>
      <c r="H4" s="4" t="inlineStr">
        <is>
          <t>Cedola</t>
        </is>
      </c>
      <c r="I4" s="4" t="inlineStr">
        <is>
          <t>Rendimento lordo</t>
        </is>
      </c>
      <c r="J4" s="4" t="inlineStr">
        <is>
          <t>Var giorno prec</t>
        </is>
      </c>
      <c r="K4" s="4" t="inlineStr">
        <is>
          <t>Var mese prec</t>
        </is>
      </c>
      <c r="L4" s="4" t="inlineStr">
        <is>
          <t>Var trimestre prec</t>
        </is>
      </c>
      <c r="M4" s="4" t="inlineStr">
        <is>
          <t>TER</t>
        </is>
      </c>
      <c r="N4" s="4" t="inlineStr">
        <is>
          <t>Aliquota</t>
        </is>
      </c>
      <c r="O4" s="4" t="inlineStr">
        <is>
          <t>Rendimento netto</t>
        </is>
      </c>
      <c r="P4" s="4" t="inlineStr">
        <is>
          <t>Netto TER e tasse</t>
        </is>
      </c>
      <c r="Q4" s="4" t="inlineStr">
        <is>
          <t>NAV</t>
        </is>
      </c>
    </row>
    <row r="5">
      <c r="A5" t="inlineStr">
        <is>
          <t>iShares</t>
        </is>
      </c>
      <c r="B5" t="inlineStr">
        <is>
          <t>iShares iBonds Dec 2029 Term € Corp Crossover UCITS ETF</t>
        </is>
      </c>
      <c r="C5" t="inlineStr">
        <is>
          <t>IE000BUSGFL9</t>
        </is>
      </c>
      <c r="D5" s="5" t="inlineStr">
        <is>
          <t>Corp</t>
        </is>
      </c>
      <c r="E5" s="5" t="inlineStr">
        <is>
          <t>Dist</t>
        </is>
      </c>
      <c r="F5" s="6" t="n">
        <v>47483</v>
      </c>
      <c r="G5" s="7">
        <f>IF(F5="","",MAX(0,YEARFRAC(TODAY(),F5)))</f>
        <v/>
      </c>
      <c r="H5" s="8" t="n">
        <v>0.0389</v>
      </c>
      <c r="I5" s="8" t="n">
        <v>0.0533</v>
      </c>
      <c r="J5" s="9" t="n">
        <v>0.0005</v>
      </c>
      <c r="K5" s="9" t="n">
        <v>0.0038</v>
      </c>
      <c r="L5" s="9" t="n"/>
      <c r="M5" s="8" t="n">
        <v>0.002</v>
      </c>
      <c r="N5" s="10">
        <f>IF(D5="Govt",$B$1,$B$2)</f>
        <v/>
      </c>
      <c r="O5" s="8">
        <f>IF(I5="","",I5*(1-N5))</f>
        <v/>
      </c>
      <c r="P5" s="11">
        <f>IF(I5="","",(I5-M5)*(1-N5))</f>
        <v/>
      </c>
      <c r="Q5" s="12" t="n">
        <v>4.86</v>
      </c>
    </row>
    <row r="6">
      <c r="A6" t="inlineStr">
        <is>
          <t>DWS</t>
        </is>
      </c>
      <c r="B6" t="inlineStr">
        <is>
          <t>Xtrackers II Target Maturity Sept 2036 EUR Corporate Bond UCITS ETF 1D</t>
        </is>
      </c>
      <c r="C6" t="inlineStr">
        <is>
          <t>LU3152892629</t>
        </is>
      </c>
      <c r="D6" s="5" t="inlineStr">
        <is>
          <t>Corp</t>
        </is>
      </c>
      <c r="E6" s="5" t="inlineStr">
        <is>
          <t>Dist</t>
        </is>
      </c>
      <c r="F6" s="6" t="n">
        <v>49948</v>
      </c>
      <c r="G6" s="7">
        <f>IF(F6="","",MAX(0,YEARFRAC(TODAY(),F6)))</f>
        <v/>
      </c>
      <c r="H6" s="8" t="n">
        <v>0.0377</v>
      </c>
      <c r="I6" s="8" t="n">
        <v>0.04679999999999999</v>
      </c>
      <c r="J6" s="9" t="n">
        <v>0.0003</v>
      </c>
      <c r="K6" s="9" t="n">
        <v>-0.0002</v>
      </c>
      <c r="L6" s="9" t="n"/>
      <c r="M6" s="8" t="n">
        <v>0.0012</v>
      </c>
      <c r="N6" s="10">
        <f>IF(D6="Govt",$B$1,$B$2)</f>
        <v/>
      </c>
      <c r="O6" s="8">
        <f>IF(I6="","",I6*(1-N6))</f>
        <v/>
      </c>
      <c r="P6" s="11">
        <f>IF(I6="","",(I6-M6)*(1-N6))</f>
        <v/>
      </c>
      <c r="Q6" s="12" t="n">
        <v>28.24</v>
      </c>
    </row>
    <row r="7">
      <c r="A7" t="inlineStr">
        <is>
          <t>DWS</t>
        </is>
      </c>
      <c r="B7" t="inlineStr">
        <is>
          <t>Xtrackers II Target Maturity Sept 2035 EUR Corporate Bond UCITS ETF 1D</t>
        </is>
      </c>
      <c r="C7" t="inlineStr">
        <is>
          <t>LU3152892546</t>
        </is>
      </c>
      <c r="D7" s="5" t="inlineStr">
        <is>
          <t>Corp</t>
        </is>
      </c>
      <c r="E7" s="5" t="inlineStr">
        <is>
          <t>Dist</t>
        </is>
      </c>
      <c r="F7" s="6" t="n">
        <v>49582</v>
      </c>
      <c r="G7" s="7">
        <f>IF(F7="","",MAX(0,YEARFRAC(TODAY(),F7)))</f>
        <v/>
      </c>
      <c r="H7" s="8" t="n">
        <v>0.0368</v>
      </c>
      <c r="I7" s="8" t="n">
        <v>0.0464</v>
      </c>
      <c r="J7" s="9" t="n">
        <v>0.0003</v>
      </c>
      <c r="K7" s="9" t="n">
        <v>-0.0002</v>
      </c>
      <c r="L7" s="9" t="n"/>
      <c r="M7" s="8" t="n">
        <v>0.0012</v>
      </c>
      <c r="N7" s="10">
        <f>IF(D7="Govt",$B$1,$B$2)</f>
        <v/>
      </c>
      <c r="O7" s="8">
        <f>IF(I7="","",I7*(1-N7))</f>
        <v/>
      </c>
      <c r="P7" s="11">
        <f>IF(I7="","",(I7-M7)*(1-N7))</f>
        <v/>
      </c>
      <c r="Q7" s="12" t="n">
        <v>29.06</v>
      </c>
    </row>
    <row r="8">
      <c r="A8" t="inlineStr">
        <is>
          <t>iShares</t>
        </is>
      </c>
      <c r="B8" t="inlineStr">
        <is>
          <t>iShares iBonds Dec 2036 Term € Corp UCITS ETF</t>
        </is>
      </c>
      <c r="C8" t="inlineStr">
        <is>
          <t>IE000RQJBQI6</t>
        </is>
      </c>
      <c r="D8" s="5" t="inlineStr">
        <is>
          <t>Corp</t>
        </is>
      </c>
      <c r="E8" s="5" t="inlineStr">
        <is>
          <t>Dist</t>
        </is>
      </c>
      <c r="F8" s="6" t="n">
        <v>50040</v>
      </c>
      <c r="G8" s="7">
        <f>IF(F8="","",MAX(0,YEARFRAC(TODAY(),F8)))</f>
        <v/>
      </c>
      <c r="H8" s="8" t="n">
        <v>0.0356</v>
      </c>
      <c r="I8" s="8" t="n">
        <v>0.0461</v>
      </c>
      <c r="J8" s="9" t="n">
        <v>0.0003</v>
      </c>
      <c r="K8" s="9" t="n">
        <v>-0.0005</v>
      </c>
      <c r="L8" s="9" t="n"/>
      <c r="M8" s="8" t="n">
        <v>0.0012</v>
      </c>
      <c r="N8" s="10">
        <f>IF(D8="Govt",$B$1,$B$2)</f>
        <v/>
      </c>
      <c r="O8" s="8">
        <f>IF(I8="","",I8*(1-N8))</f>
        <v/>
      </c>
      <c r="P8" s="11">
        <f>IF(I8="","",(I8-M8)*(1-N8))</f>
        <v/>
      </c>
      <c r="Q8" s="12" t="n">
        <v>4.81</v>
      </c>
    </row>
    <row r="9">
      <c r="A9" t="inlineStr">
        <is>
          <t>iShares</t>
        </is>
      </c>
      <c r="B9" t="inlineStr">
        <is>
          <t>iShares iBonds Dec 2035 Term € Corp UCITS ETF</t>
        </is>
      </c>
      <c r="C9" t="inlineStr">
        <is>
          <t>IE000WLR06P0</t>
        </is>
      </c>
      <c r="D9" s="5" t="inlineStr">
        <is>
          <t>Corp</t>
        </is>
      </c>
      <c r="E9" s="5" t="inlineStr">
        <is>
          <t>Dist</t>
        </is>
      </c>
      <c r="F9" s="6" t="n">
        <v>49674</v>
      </c>
      <c r="G9" s="7">
        <f>IF(F9="","",MAX(0,YEARFRAC(TODAY(),F9)))</f>
        <v/>
      </c>
      <c r="H9" s="8" t="n">
        <v>0.0365</v>
      </c>
      <c r="I9" s="8" t="n">
        <v>0.0459</v>
      </c>
      <c r="J9" s="9" t="n">
        <v>0.0004</v>
      </c>
      <c r="K9" s="9" t="n">
        <v>-0.0005</v>
      </c>
      <c r="L9" s="9" t="n"/>
      <c r="M9" s="8" t="n">
        <v>0.0012</v>
      </c>
      <c r="N9" s="10">
        <f>IF(D9="Govt",$B$1,$B$2)</f>
        <v/>
      </c>
      <c r="O9" s="8">
        <f>IF(I9="","",I9*(1-N9))</f>
        <v/>
      </c>
      <c r="P9" s="11">
        <f>IF(I9="","",(I9-M9)*(1-N9))</f>
        <v/>
      </c>
      <c r="Q9" s="12" t="n">
        <v>4.72</v>
      </c>
    </row>
    <row r="10">
      <c r="A10" t="inlineStr">
        <is>
          <t>iShares</t>
        </is>
      </c>
      <c r="B10" t="inlineStr">
        <is>
          <t>iShares iBonds Dec 2037 Term € Corp UCITS ETF</t>
        </is>
      </c>
      <c r="C10" t="inlineStr">
        <is>
          <t>IE000PWSK6H1</t>
        </is>
      </c>
      <c r="D10" s="5" t="inlineStr">
        <is>
          <t>Corp</t>
        </is>
      </c>
      <c r="E10" s="5" t="inlineStr">
        <is>
          <t>Dist</t>
        </is>
      </c>
      <c r="F10" s="6" t="n">
        <v>50405</v>
      </c>
      <c r="G10" s="7">
        <f>IF(F10="","",MAX(0,YEARFRAC(TODAY(),F10)))</f>
        <v/>
      </c>
      <c r="H10" s="8" t="n">
        <v>0.0349</v>
      </c>
      <c r="I10" s="8" t="n">
        <v>0.0457</v>
      </c>
      <c r="J10" s="9" t="n">
        <v>0.0004</v>
      </c>
      <c r="K10" s="9" t="n">
        <v>-0.0007</v>
      </c>
      <c r="L10" s="9" t="n"/>
      <c r="M10" s="8" t="n">
        <v>0.0012</v>
      </c>
      <c r="N10" s="10">
        <f>IF(D10="Govt",$B$1,$B$2)</f>
        <v/>
      </c>
      <c r="O10" s="8">
        <f>IF(I10="","",I10*(1-N10))</f>
        <v/>
      </c>
      <c r="P10" s="11">
        <f>IF(I10="","",(I10-M10)*(1-N10))</f>
        <v/>
      </c>
      <c r="Q10" s="12" t="n">
        <v>4.82</v>
      </c>
    </row>
    <row r="11">
      <c r="A11" t="inlineStr">
        <is>
          <t>DWS</t>
        </is>
      </c>
      <c r="B11" t="inlineStr">
        <is>
          <t>Xtrackers II Target Maturity Sept 2034 EUR Corporate Bond UCITS ETF 1D</t>
        </is>
      </c>
      <c r="C11" t="inlineStr">
        <is>
          <t>LU2809864619</t>
        </is>
      </c>
      <c r="D11" s="5" t="inlineStr">
        <is>
          <t>Corp</t>
        </is>
      </c>
      <c r="E11" s="5" t="inlineStr">
        <is>
          <t>Dist</t>
        </is>
      </c>
      <c r="F11" s="6" t="n">
        <v>49217</v>
      </c>
      <c r="G11" s="7">
        <f>IF(F11="","",MAX(0,YEARFRAC(TODAY(),F11)))</f>
        <v/>
      </c>
      <c r="H11" s="8" t="n">
        <v>0.0351</v>
      </c>
      <c r="I11" s="8" t="n">
        <v>0.0457</v>
      </c>
      <c r="J11" s="9" t="n">
        <v>0.0004</v>
      </c>
      <c r="K11" s="9" t="n">
        <v>-0.0002</v>
      </c>
      <c r="L11" s="9" t="n"/>
      <c r="M11" s="8" t="n">
        <v>0.0012</v>
      </c>
      <c r="N11" s="10">
        <f>IF(D11="Govt",$B$1,$B$2)</f>
        <v/>
      </c>
      <c r="O11" s="8">
        <f>IF(I11="","",I11*(1-N11))</f>
        <v/>
      </c>
      <c r="P11" s="11">
        <f>IF(I11="","",(I11-M11)*(1-N11))</f>
        <v/>
      </c>
      <c r="Q11" s="12" t="n">
        <v>33.45</v>
      </c>
    </row>
    <row r="12">
      <c r="A12" t="inlineStr">
        <is>
          <t>iShares</t>
        </is>
      </c>
      <c r="B12" t="inlineStr">
        <is>
          <t>iShares iBonds Dec 2028 Term € Corp Crossover UCITS ETF</t>
        </is>
      </c>
      <c r="C12" t="inlineStr">
        <is>
          <t>IE0003HV7CS6</t>
        </is>
      </c>
      <c r="D12" s="5" t="inlineStr">
        <is>
          <t>Corp</t>
        </is>
      </c>
      <c r="E12" s="5" t="inlineStr">
        <is>
          <t>Acc</t>
        </is>
      </c>
      <c r="F12" s="6" t="n">
        <v>47118</v>
      </c>
      <c r="G12" s="7">
        <f>IF(F12="","",MAX(0,YEARFRAC(TODAY(),F12)))</f>
        <v/>
      </c>
      <c r="H12" s="8" t="n">
        <v>0.0329</v>
      </c>
      <c r="I12" s="8" t="n">
        <v>0.0463</v>
      </c>
      <c r="J12" s="9" t="n">
        <v>0.0004</v>
      </c>
      <c r="K12" s="9" t="n">
        <v>0.0031</v>
      </c>
      <c r="L12" s="9" t="n"/>
      <c r="M12" s="8" t="n">
        <v>0.002</v>
      </c>
      <c r="N12" s="10">
        <f>IF(D12="Govt",$B$1,$B$2)</f>
        <v/>
      </c>
      <c r="O12" s="8">
        <f>IF(I12="","",I12*(1-N12))</f>
        <v/>
      </c>
      <c r="P12" s="11">
        <f>IF(I12="","",(I12-M12)*(1-N12))</f>
        <v/>
      </c>
      <c r="Q12" s="12" t="n">
        <v>5.09</v>
      </c>
    </row>
    <row r="13">
      <c r="A13" t="inlineStr">
        <is>
          <t>DWS</t>
        </is>
      </c>
      <c r="B13" t="inlineStr">
        <is>
          <t>Xtrackers II Target Maturity Sept 2033 EUR Corporate Bond UCITS ETF 1C</t>
        </is>
      </c>
      <c r="C13" t="inlineStr">
        <is>
          <t>LU2673523051</t>
        </is>
      </c>
      <c r="D13" s="5" t="inlineStr">
        <is>
          <t>Corp</t>
        </is>
      </c>
      <c r="E13" s="5" t="inlineStr">
        <is>
          <t>Acc</t>
        </is>
      </c>
      <c r="F13" s="6" t="n">
        <v>48852</v>
      </c>
      <c r="G13" s="7">
        <f>IF(F13="","",MAX(0,YEARFRAC(TODAY(),F13)))</f>
        <v/>
      </c>
      <c r="H13" s="8" t="n">
        <v>0.0338</v>
      </c>
      <c r="I13" s="8" t="n">
        <v>0.0452</v>
      </c>
      <c r="J13" s="9" t="n">
        <v>0.0004</v>
      </c>
      <c r="K13" s="9" t="n">
        <v>-0.0002</v>
      </c>
      <c r="L13" s="9" t="n"/>
      <c r="M13" s="8" t="n">
        <v>0.0012</v>
      </c>
      <c r="N13" s="10">
        <f>IF(D13="Govt",$B$1,$B$2)</f>
        <v/>
      </c>
      <c r="O13" s="8">
        <f>IF(I13="","",I13*(1-N13))</f>
        <v/>
      </c>
      <c r="P13" s="11">
        <f>IF(I13="","",(I13-M13)*(1-N13))</f>
        <v/>
      </c>
      <c r="Q13" s="12" t="n">
        <v>9.279999999999999</v>
      </c>
    </row>
    <row r="14">
      <c r="A14" t="inlineStr">
        <is>
          <t>DWS</t>
        </is>
      </c>
      <c r="B14" t="inlineStr">
        <is>
          <t>Xtrackers II Target Maturity Sept 2033 EUR Corporate Bond UCITS ETF 1D</t>
        </is>
      </c>
      <c r="C14" t="inlineStr">
        <is>
          <t>LU2673523564</t>
        </is>
      </c>
      <c r="D14" s="5" t="inlineStr">
        <is>
          <t>Corp</t>
        </is>
      </c>
      <c r="E14" s="5" t="inlineStr">
        <is>
          <t>Dist</t>
        </is>
      </c>
      <c r="F14" s="6" t="n">
        <v>48852</v>
      </c>
      <c r="G14" s="7">
        <f>IF(F14="","",MAX(0,YEARFRAC(TODAY(),F14)))</f>
        <v/>
      </c>
      <c r="H14" s="8" t="n">
        <v>0.0338</v>
      </c>
      <c r="I14" s="8" t="n">
        <v>0.0452</v>
      </c>
      <c r="J14" s="9" t="n">
        <v>0.0004</v>
      </c>
      <c r="K14" s="9" t="n">
        <v>-0.0002</v>
      </c>
      <c r="L14" s="9" t="n"/>
      <c r="M14" s="8" t="n">
        <v>0.0012</v>
      </c>
      <c r="N14" s="10">
        <f>IF(D14="Govt",$B$1,$B$2)</f>
        <v/>
      </c>
      <c r="O14" s="8">
        <f>IF(I14="","",I14*(1-N14))</f>
        <v/>
      </c>
      <c r="P14" s="11">
        <f>IF(I14="","",(I14-M14)*(1-N14))</f>
        <v/>
      </c>
      <c r="Q14" s="12" t="n">
        <v>27.81</v>
      </c>
    </row>
    <row r="15">
      <c r="A15" t="inlineStr">
        <is>
          <t>iShares</t>
        </is>
      </c>
      <c r="B15" t="inlineStr">
        <is>
          <t>iShares iBonds Dec 2034 Term € Corp UCITS ETF</t>
        </is>
      </c>
      <c r="C15" t="inlineStr">
        <is>
          <t>IE000SBJO6L2</t>
        </is>
      </c>
      <c r="D15" s="5" t="inlineStr">
        <is>
          <t>Corp</t>
        </is>
      </c>
      <c r="E15" s="5" t="inlineStr">
        <is>
          <t>Dist</t>
        </is>
      </c>
      <c r="F15" s="6" t="n">
        <v>49309</v>
      </c>
      <c r="G15" s="7">
        <f>IF(F15="","",MAX(0,YEARFRAC(TODAY(),F15)))</f>
        <v/>
      </c>
      <c r="H15" s="8" t="n">
        <v>0.0348</v>
      </c>
      <c r="I15" s="8" t="n">
        <v>0.0451</v>
      </c>
      <c r="J15" s="9" t="n">
        <v>0.0004</v>
      </c>
      <c r="K15" s="9" t="n">
        <v>-0.0005</v>
      </c>
      <c r="L15" s="9" t="n"/>
      <c r="M15" s="8" t="n">
        <v>0.0012</v>
      </c>
      <c r="N15" s="10">
        <f>IF(D15="Govt",$B$1,$B$2)</f>
        <v/>
      </c>
      <c r="O15" s="8">
        <f>IF(I15="","",I15*(1-N15))</f>
        <v/>
      </c>
      <c r="P15" s="11">
        <f>IF(I15="","",(I15-M15)*(1-N15))</f>
        <v/>
      </c>
      <c r="Q15" s="12" t="n">
        <v>4.75</v>
      </c>
    </row>
    <row r="16">
      <c r="A16" t="inlineStr">
        <is>
          <t>iShares</t>
        </is>
      </c>
      <c r="B16" t="inlineStr">
        <is>
          <t>iShares iBonds Dec 2033 Term € Corp UCITS ETF</t>
        </is>
      </c>
      <c r="C16" t="inlineStr">
        <is>
          <t>IE000E0NL9T3</t>
        </is>
      </c>
      <c r="D16" s="5" t="inlineStr">
        <is>
          <t>Corp</t>
        </is>
      </c>
      <c r="E16" s="5" t="inlineStr">
        <is>
          <t>Dist</t>
        </is>
      </c>
      <c r="F16" s="6" t="n">
        <v>48944</v>
      </c>
      <c r="G16" s="7">
        <f>IF(F16="","",MAX(0,YEARFRAC(TODAY(),F16)))</f>
        <v/>
      </c>
      <c r="H16" s="8" t="n">
        <v>0.0331</v>
      </c>
      <c r="I16" s="8" t="n">
        <v>0.0446</v>
      </c>
      <c r="J16" s="9" t="n">
        <v>0.0005</v>
      </c>
      <c r="K16" s="9" t="n">
        <v>-0.0005</v>
      </c>
      <c r="L16" s="9" t="n"/>
      <c r="M16" s="8" t="n">
        <v>0.0012</v>
      </c>
      <c r="N16" s="10">
        <f>IF(D16="Govt",$B$1,$B$2)</f>
        <v/>
      </c>
      <c r="O16" s="8">
        <f>IF(I16="","",I16*(1-N16))</f>
        <v/>
      </c>
      <c r="P16" s="11">
        <f>IF(I16="","",(I16-M16)*(1-N16))</f>
        <v/>
      </c>
      <c r="Q16" s="12" t="n">
        <v>4.76</v>
      </c>
    </row>
    <row r="17">
      <c r="A17" t="inlineStr">
        <is>
          <t>DWS</t>
        </is>
      </c>
      <c r="B17" t="inlineStr">
        <is>
          <t>Xtrackers II Target Maturity Sept 2032 EUR Corporate Bond UCITS ETF 1D</t>
        </is>
      </c>
      <c r="C17" t="inlineStr">
        <is>
          <t>LU2809864452</t>
        </is>
      </c>
      <c r="D17" s="5" t="inlineStr">
        <is>
          <t>Corp</t>
        </is>
      </c>
      <c r="E17" s="5" t="inlineStr">
        <is>
          <t>Dist</t>
        </is>
      </c>
      <c r="F17" s="6" t="n">
        <v>48487</v>
      </c>
      <c r="G17" s="7">
        <f>IF(F17="","",MAX(0,YEARFRAC(TODAY(),F17)))</f>
        <v/>
      </c>
      <c r="H17" s="8" t="n">
        <v>0.0282</v>
      </c>
      <c r="I17" s="8" t="n">
        <v>0.0445</v>
      </c>
      <c r="J17" s="9" t="n">
        <v>0.0005</v>
      </c>
      <c r="K17" s="9" t="n">
        <v>0.0001</v>
      </c>
      <c r="L17" s="9" t="n"/>
      <c r="M17" s="8" t="n">
        <v>0.0012</v>
      </c>
      <c r="N17" s="10">
        <f>IF(D17="Govt",$B$1,$B$2)</f>
        <v/>
      </c>
      <c r="O17" s="8">
        <f>IF(I17="","",I17*(1-N17))</f>
        <v/>
      </c>
      <c r="P17" s="11">
        <f>IF(I17="","",(I17-M17)*(1-N17))</f>
        <v/>
      </c>
      <c r="Q17" s="12" t="n">
        <v>34.18</v>
      </c>
    </row>
    <row r="18">
      <c r="A18" t="inlineStr">
        <is>
          <t>iShares</t>
        </is>
      </c>
      <c r="B18" t="inlineStr">
        <is>
          <t>iShares iBonds Dec 2032 Term € Corp UCITS ETF</t>
        </is>
      </c>
      <c r="C18" t="inlineStr">
        <is>
          <t>IE0000MR4GH9</t>
        </is>
      </c>
      <c r="D18" s="5" t="inlineStr">
        <is>
          <t>Corp</t>
        </is>
      </c>
      <c r="E18" s="5" t="inlineStr">
        <is>
          <t>Dist</t>
        </is>
      </c>
      <c r="F18" s="6" t="n">
        <v>48579</v>
      </c>
      <c r="G18" s="7">
        <f>IF(F18="","",MAX(0,YEARFRAC(TODAY(),F18)))</f>
        <v/>
      </c>
      <c r="H18" s="8" t="n">
        <v>0.0301</v>
      </c>
      <c r="I18" s="8" t="n">
        <v>0.0435</v>
      </c>
      <c r="J18" s="9" t="n">
        <v>0.0005</v>
      </c>
      <c r="K18" s="9" t="n">
        <v>-0.0004</v>
      </c>
      <c r="L18" s="9" t="n"/>
      <c r="M18" s="8" t="n">
        <v>0.0012</v>
      </c>
      <c r="N18" s="10">
        <f>IF(D18="Govt",$B$1,$B$2)</f>
        <v/>
      </c>
      <c r="O18" s="8">
        <f>IF(I18="","",I18*(1-N18))</f>
        <v/>
      </c>
      <c r="P18" s="11">
        <f>IF(I18="","",(I18-M18)*(1-N18))</f>
        <v/>
      </c>
      <c r="Q18" s="12" t="n">
        <v>4.82</v>
      </c>
    </row>
    <row r="19">
      <c r="A19" t="inlineStr">
        <is>
          <t>Amundi</t>
        </is>
      </c>
      <c r="B19" t="inlineStr">
        <is>
          <t>Amundi Fixed Maturity 2030 Euro Government Bond Broad UCITS ETF Acc</t>
        </is>
      </c>
      <c r="C19" t="inlineStr">
        <is>
          <t>LU3120976132</t>
        </is>
      </c>
      <c r="D19" s="5" t="inlineStr">
        <is>
          <t>Govt</t>
        </is>
      </c>
      <c r="E19" s="5" t="inlineStr">
        <is>
          <t>Acc</t>
        </is>
      </c>
      <c r="F19" s="6" t="n">
        <v>47848</v>
      </c>
      <c r="G19" s="7">
        <f>IF(F19="","",MAX(0,YEARFRAC(TODAY(),F19)))</f>
        <v/>
      </c>
      <c r="H19" s="8" t="n">
        <v>0.0169</v>
      </c>
      <c r="I19" s="8" t="n">
        <v>0.0364</v>
      </c>
      <c r="J19" s="9" t="n">
        <v>-0.0001</v>
      </c>
      <c r="K19" s="9" t="n">
        <v>0.0015</v>
      </c>
      <c r="L19" s="9" t="n"/>
      <c r="M19" s="8" t="n">
        <v>0.0009</v>
      </c>
      <c r="N19" s="10">
        <f>IF(D19="Govt",$B$1,$B$2)</f>
        <v/>
      </c>
      <c r="O19" s="8">
        <f>IF(I19="","",I19*(1-N19))</f>
        <v/>
      </c>
      <c r="P19" s="11">
        <f>IF(I19="","",(I19-M19)*(1-N19))</f>
        <v/>
      </c>
      <c r="Q19" s="12" t="n">
        <v>9.8497</v>
      </c>
    </row>
    <row r="20">
      <c r="A20" t="inlineStr">
        <is>
          <t>iShares</t>
        </is>
      </c>
      <c r="B20" t="inlineStr">
        <is>
          <t>iShares iBonds Dec 2031 Term € Corp UCITS ETF</t>
        </is>
      </c>
      <c r="C20" t="inlineStr">
        <is>
          <t>IE000I2WYEU9</t>
        </is>
      </c>
      <c r="D20" s="5" t="inlineStr">
        <is>
          <t>Corp</t>
        </is>
      </c>
      <c r="E20" s="5" t="inlineStr">
        <is>
          <t>Dist</t>
        </is>
      </c>
      <c r="F20" s="6" t="n">
        <v>48213</v>
      </c>
      <c r="G20" s="7">
        <f>IF(F20="","",MAX(0,YEARFRAC(TODAY(),F20)))</f>
        <v/>
      </c>
      <c r="H20" s="8" t="n">
        <v>0.0285</v>
      </c>
      <c r="I20" s="8" t="n">
        <v>0.0429</v>
      </c>
      <c r="J20" s="9" t="n">
        <v>0.0005</v>
      </c>
      <c r="K20" s="9" t="n">
        <v>-0.0004</v>
      </c>
      <c r="L20" s="9" t="n"/>
      <c r="M20" s="8" t="n">
        <v>0.0012</v>
      </c>
      <c r="N20" s="10">
        <f>IF(D20="Govt",$B$1,$B$2)</f>
        <v/>
      </c>
      <c r="O20" s="8">
        <f>IF(I20="","",I20*(1-N20))</f>
        <v/>
      </c>
      <c r="P20" s="11">
        <f>IF(I20="","",(I20-M20)*(1-N20))</f>
        <v/>
      </c>
      <c r="Q20" s="12" t="n">
        <v>4.87</v>
      </c>
    </row>
    <row r="21">
      <c r="A21" t="inlineStr">
        <is>
          <t>BNP Paribas</t>
        </is>
      </c>
      <c r="B21" t="inlineStr">
        <is>
          <t>BNP PARIBAS EASY ESG ENHANCED EUR CORP BOND DECEMBER 2032 UCITS ETF C</t>
        </is>
      </c>
      <c r="C21" t="inlineStr">
        <is>
          <t>LU2823895847</t>
        </is>
      </c>
      <c r="D21" s="5" t="inlineStr">
        <is>
          <t>Corp</t>
        </is>
      </c>
      <c r="E21" s="5" t="inlineStr">
        <is>
          <t>Acc</t>
        </is>
      </c>
      <c r="F21" s="6" t="n">
        <v>48579</v>
      </c>
      <c r="G21" s="7">
        <f>IF(F21="","",MAX(0,YEARFRAC(TODAY(),F21)))</f>
        <v/>
      </c>
      <c r="H21" s="8" t="n">
        <v>0.0269</v>
      </c>
      <c r="I21" s="8" t="n">
        <v>0.04269999999999999</v>
      </c>
      <c r="J21" s="9" t="n">
        <v>0.0004</v>
      </c>
      <c r="K21" s="9" t="n">
        <v>-0.0003</v>
      </c>
      <c r="L21" s="9" t="n"/>
      <c r="M21" s="8" t="n">
        <v>0.0012</v>
      </c>
      <c r="N21" s="10">
        <f>IF(D21="Govt",$B$1,$B$2)</f>
        <v/>
      </c>
      <c r="O21" s="8">
        <f>IF(I21="","",I21*(1-N21))</f>
        <v/>
      </c>
      <c r="P21" s="11">
        <f>IF(I21="","",(I21-M21)*(1-N21))</f>
        <v/>
      </c>
      <c r="Q21" s="12" t="n">
        <v>10.4377</v>
      </c>
    </row>
    <row r="22">
      <c r="A22" t="inlineStr">
        <is>
          <t>BNP Paribas</t>
        </is>
      </c>
      <c r="B22" t="inlineStr">
        <is>
          <t>BNP PARIBAS EASY ESG ENHANCED EUR CORP BOND DECEMBER 2032 UCITS ETF D</t>
        </is>
      </c>
      <c r="C22" t="inlineStr">
        <is>
          <t>LU2823895763</t>
        </is>
      </c>
      <c r="D22" s="5" t="inlineStr">
        <is>
          <t>Corp</t>
        </is>
      </c>
      <c r="E22" s="5" t="inlineStr">
        <is>
          <t>Dist</t>
        </is>
      </c>
      <c r="F22" s="6" t="n">
        <v>48579</v>
      </c>
      <c r="G22" s="7">
        <f>IF(F22="","",MAX(0,YEARFRAC(TODAY(),F22)))</f>
        <v/>
      </c>
      <c r="H22" s="8" t="n">
        <v>0.0269</v>
      </c>
      <c r="I22" s="8" t="n">
        <v>0.04269999999999999</v>
      </c>
      <c r="J22" s="9" t="n">
        <v>0.0004</v>
      </c>
      <c r="K22" s="9" t="n">
        <v>-0.0003</v>
      </c>
      <c r="L22" s="9" t="n"/>
      <c r="M22" s="8" t="n">
        <v>0.0012</v>
      </c>
      <c r="N22" s="10">
        <f>IF(D22="Govt",$B$1,$B$2)</f>
        <v/>
      </c>
      <c r="O22" s="8">
        <f>IF(I22="","",I22*(1-N22))</f>
        <v/>
      </c>
      <c r="P22" s="11">
        <f>IF(I22="","",(I22-M22)*(1-N22))</f>
        <v/>
      </c>
      <c r="Q22" s="12" t="n">
        <v>10.0515</v>
      </c>
    </row>
    <row r="23">
      <c r="A23" t="inlineStr">
        <is>
          <t>DWS</t>
        </is>
      </c>
      <c r="B23" t="inlineStr">
        <is>
          <t>Xtrackers II Target Maturity Sept 2031 EUR Corporate Bond UCITS ETF 1C</t>
        </is>
      </c>
      <c r="C23" t="inlineStr">
        <is>
          <t>LU2673523135</t>
        </is>
      </c>
      <c r="D23" s="5" t="inlineStr">
        <is>
          <t>Corp</t>
        </is>
      </c>
      <c r="E23" s="5" t="inlineStr">
        <is>
          <t>Acc</t>
        </is>
      </c>
      <c r="F23" s="6" t="n">
        <v>48121</v>
      </c>
      <c r="G23" s="7">
        <f>IF(F23="","",MAX(0,YEARFRAC(TODAY(),F23)))</f>
        <v/>
      </c>
      <c r="H23" s="8" t="n">
        <v>0.0287</v>
      </c>
      <c r="I23" s="8" t="n">
        <v>0.0426</v>
      </c>
      <c r="J23" s="9" t="n">
        <v>0.0005999999999999999</v>
      </c>
      <c r="K23" s="9" t="n">
        <v>-0.0003</v>
      </c>
      <c r="L23" s="9" t="n"/>
      <c r="M23" s="8" t="n">
        <v>0.0012</v>
      </c>
      <c r="N23" s="10">
        <f>IF(D23="Govt",$B$1,$B$2)</f>
        <v/>
      </c>
      <c r="O23" s="8">
        <f>IF(I23="","",I23*(1-N23))</f>
        <v/>
      </c>
      <c r="P23" s="11">
        <f>IF(I23="","",(I23-M23)*(1-N23))</f>
        <v/>
      </c>
      <c r="Q23" s="12" t="n">
        <v>9.77</v>
      </c>
    </row>
    <row r="24">
      <c r="A24" t="inlineStr">
        <is>
          <t>DWS</t>
        </is>
      </c>
      <c r="B24" t="inlineStr">
        <is>
          <t>Xtrackers II Target Maturity Sept 2031 EUR Corporate Bond UCITS ETF 1D</t>
        </is>
      </c>
      <c r="C24" t="inlineStr">
        <is>
          <t>LU2673523481</t>
        </is>
      </c>
      <c r="D24" s="5" t="inlineStr">
        <is>
          <t>Corp</t>
        </is>
      </c>
      <c r="E24" s="5" t="inlineStr">
        <is>
          <t>Dist</t>
        </is>
      </c>
      <c r="F24" s="6" t="n">
        <v>48121</v>
      </c>
      <c r="G24" s="7">
        <f>IF(F24="","",MAX(0,YEARFRAC(TODAY(),F24)))</f>
        <v/>
      </c>
      <c r="H24" s="8" t="n">
        <v>0.0287</v>
      </c>
      <c r="I24" s="8" t="n">
        <v>0.0426</v>
      </c>
      <c r="J24" s="9" t="n">
        <v>0.0005999999999999999</v>
      </c>
      <c r="K24" s="9" t="n">
        <v>-0.0003</v>
      </c>
      <c r="L24" s="9" t="n"/>
      <c r="M24" s="8" t="n">
        <v>0.0012</v>
      </c>
      <c r="N24" s="10">
        <f>IF(D24="Govt",$B$1,$B$2)</f>
        <v/>
      </c>
      <c r="O24" s="8">
        <f>IF(I24="","",I24*(1-N24))</f>
        <v/>
      </c>
      <c r="P24" s="11">
        <f>IF(I24="","",(I24-M24)*(1-N24))</f>
        <v/>
      </c>
      <c r="Q24" s="12" t="n">
        <v>29.25</v>
      </c>
    </row>
    <row r="25">
      <c r="A25" t="inlineStr">
        <is>
          <t>Amundi</t>
        </is>
      </c>
      <c r="B25" t="inlineStr">
        <is>
          <t>Amundi Fixed Maturity 2029 Euro Government Bond Broad UCITS ETF Acc</t>
        </is>
      </c>
      <c r="C25" t="inlineStr">
        <is>
          <t>LU2872291781</t>
        </is>
      </c>
      <c r="D25" s="5" t="inlineStr">
        <is>
          <t>Govt</t>
        </is>
      </c>
      <c r="E25" s="5" t="inlineStr">
        <is>
          <t>Acc</t>
        </is>
      </c>
      <c r="F25" s="6" t="n">
        <v>47483</v>
      </c>
      <c r="G25" s="7">
        <f>IF(F25="","",MAX(0,YEARFRAC(TODAY(),F25)))</f>
        <v/>
      </c>
      <c r="H25" s="8" t="n">
        <v>0.0208</v>
      </c>
      <c r="I25" s="8" t="n">
        <v>0.0356</v>
      </c>
      <c r="J25" s="9" t="n">
        <v>0</v>
      </c>
      <c r="K25" s="9" t="n">
        <v>0.0014</v>
      </c>
      <c r="L25" s="9" t="n"/>
      <c r="M25" s="8" t="n">
        <v>0.0009</v>
      </c>
      <c r="N25" s="10">
        <f>IF(D25="Govt",$B$1,$B$2)</f>
        <v/>
      </c>
      <c r="O25" s="8">
        <f>IF(I25="","",I25*(1-N25))</f>
        <v/>
      </c>
      <c r="P25" s="11">
        <f>IF(I25="","",(I25-M25)*(1-N25))</f>
        <v/>
      </c>
      <c r="Q25" s="12" t="n">
        <v>10.0024</v>
      </c>
    </row>
    <row r="26">
      <c r="A26" t="inlineStr">
        <is>
          <t>Invesco</t>
        </is>
      </c>
      <c r="B26" t="inlineStr">
        <is>
          <t>Invesco BulletShares 2030 EUR Corporate Bond UCITS ETF Acc</t>
        </is>
      </c>
      <c r="C26" t="inlineStr">
        <is>
          <t>IE000I25S1V5</t>
        </is>
      </c>
      <c r="D26" s="5" t="inlineStr">
        <is>
          <t>Corp</t>
        </is>
      </c>
      <c r="E26" s="5" t="inlineStr">
        <is>
          <t>Acc</t>
        </is>
      </c>
      <c r="F26" s="6" t="n">
        <v>47848</v>
      </c>
      <c r="G26" s="7">
        <f>IF(F26="","",MAX(0,YEARFRAC(TODAY(),F26)))</f>
        <v/>
      </c>
      <c r="H26" s="8" t="n">
        <v>0.0286</v>
      </c>
      <c r="I26" s="8" t="n">
        <v>0.0417</v>
      </c>
      <c r="J26" s="9" t="n">
        <v>0.0005999999999999999</v>
      </c>
      <c r="K26" s="9" t="n">
        <v>0.0013</v>
      </c>
      <c r="L26" s="9" t="n"/>
      <c r="M26" s="8" t="n">
        <v>0.001</v>
      </c>
      <c r="N26" s="10">
        <f>IF(D26="Govt",$B$1,$B$2)</f>
        <v/>
      </c>
      <c r="O26" s="8">
        <f>IF(I26="","",I26*(1-N26))</f>
        <v/>
      </c>
      <c r="P26" s="11">
        <f>IF(I26="","",(I26-M26)*(1-N26))</f>
        <v/>
      </c>
      <c r="Q26" s="12" t="n">
        <v>5.3515</v>
      </c>
    </row>
    <row r="27">
      <c r="A27" t="inlineStr">
        <is>
          <t>Invesco</t>
        </is>
      </c>
      <c r="B27" t="inlineStr">
        <is>
          <t>Invesco BulletShares 2030 EUR Corporate Bond UCITS ETF Dist</t>
        </is>
      </c>
      <c r="C27" t="inlineStr">
        <is>
          <t>IE000W6YTDH7</t>
        </is>
      </c>
      <c r="D27" s="5" t="inlineStr">
        <is>
          <t>Corp</t>
        </is>
      </c>
      <c r="E27" s="5" t="inlineStr">
        <is>
          <t>Dist</t>
        </is>
      </c>
      <c r="F27" s="6" t="n">
        <v>47848</v>
      </c>
      <c r="G27" s="7">
        <f>IF(F27="","",MAX(0,YEARFRAC(TODAY(),F27)))</f>
        <v/>
      </c>
      <c r="H27" s="8" t="n">
        <v>0.0286</v>
      </c>
      <c r="I27" s="8" t="n">
        <v>0.0417</v>
      </c>
      <c r="J27" s="9" t="n">
        <v>0.0005999999999999999</v>
      </c>
      <c r="K27" s="9" t="n">
        <v>0.0013</v>
      </c>
      <c r="L27" s="9" t="n"/>
      <c r="M27" s="8" t="n">
        <v>0.001</v>
      </c>
      <c r="N27" s="10">
        <f>IF(D27="Govt",$B$1,$B$2)</f>
        <v/>
      </c>
      <c r="O27" s="8">
        <f>IF(I27="","",I27*(1-N27))</f>
        <v/>
      </c>
      <c r="P27" s="11">
        <f>IF(I27="","",(I27-M27)*(1-N27))</f>
        <v/>
      </c>
      <c r="Q27" s="12" t="n">
        <v>4.9848</v>
      </c>
    </row>
    <row r="28">
      <c r="A28" t="inlineStr">
        <is>
          <t>iShares</t>
        </is>
      </c>
      <c r="B28" t="inlineStr">
        <is>
          <t>iShares iBonds Dec 2030 Term € Corp UCITS ETF</t>
        </is>
      </c>
      <c r="C28" t="inlineStr">
        <is>
          <t>IE000LX17BP9</t>
        </is>
      </c>
      <c r="D28" s="5" t="inlineStr">
        <is>
          <t>Corp</t>
        </is>
      </c>
      <c r="E28" s="5" t="inlineStr">
        <is>
          <t>Dist</t>
        </is>
      </c>
      <c r="F28" s="6" t="n">
        <v>47848</v>
      </c>
      <c r="G28" s="7">
        <f>IF(F28="","",MAX(0,YEARFRAC(TODAY(),F28)))</f>
        <v/>
      </c>
      <c r="H28" s="8" t="n">
        <v>0.0281</v>
      </c>
      <c r="I28" s="8" t="n">
        <v>0.0414</v>
      </c>
      <c r="J28" s="9" t="n">
        <v>0.0007</v>
      </c>
      <c r="K28" s="9" t="n">
        <v>-0.0001</v>
      </c>
      <c r="L28" s="9" t="n"/>
      <c r="M28" s="8" t="n">
        <v>0.0012</v>
      </c>
      <c r="N28" s="10">
        <f>IF(D28="Govt",$B$1,$B$2)</f>
        <v/>
      </c>
      <c r="O28" s="8">
        <f>IF(I28="","",I28*(1-N28))</f>
        <v/>
      </c>
      <c r="P28" s="11">
        <f>IF(I28="","",(I28-M28)*(1-N28))</f>
        <v/>
      </c>
      <c r="Q28" s="12" t="n">
        <v>4.98</v>
      </c>
    </row>
    <row r="29">
      <c r="A29" t="inlineStr">
        <is>
          <t>DWS</t>
        </is>
      </c>
      <c r="B29" t="inlineStr">
        <is>
          <t>Xtrackers II Target Maturity Sept 2030 EUR Corporate Bond UCITS ETF 1D</t>
        </is>
      </c>
      <c r="C29" t="inlineStr">
        <is>
          <t>LU2809864296</t>
        </is>
      </c>
      <c r="D29" s="5" t="inlineStr">
        <is>
          <t>Corp</t>
        </is>
      </c>
      <c r="E29" s="5" t="inlineStr">
        <is>
          <t>Dist</t>
        </is>
      </c>
      <c r="F29" s="6" t="n">
        <v>47756</v>
      </c>
      <c r="G29" s="7">
        <f>IF(F29="","",MAX(0,YEARFRAC(TODAY(),F29)))</f>
        <v/>
      </c>
      <c r="H29" s="8" t="n">
        <v>0.027</v>
      </c>
      <c r="I29" s="8" t="n">
        <v>0.0413</v>
      </c>
      <c r="J29" s="9" t="n">
        <v>0.0007</v>
      </c>
      <c r="K29" s="9" t="n">
        <v>-0.0001</v>
      </c>
      <c r="L29" s="9" t="n"/>
      <c r="M29" s="8" t="n">
        <v>0.0012</v>
      </c>
      <c r="N29" s="10">
        <f>IF(D29="Govt",$B$1,$B$2)</f>
        <v/>
      </c>
      <c r="O29" s="8">
        <f>IF(I29="","",I29*(1-N29))</f>
        <v/>
      </c>
      <c r="P29" s="11">
        <f>IF(I29="","",(I29-M29)*(1-N29))</f>
        <v/>
      </c>
      <c r="Q29" s="12" t="n">
        <v>35.2</v>
      </c>
    </row>
    <row r="30">
      <c r="A30" t="inlineStr">
        <is>
          <t>DWS</t>
        </is>
      </c>
      <c r="B30" t="inlineStr">
        <is>
          <t>Xtrackers II Target Maturity Sept 2029 Italy and Spain Government Bond UCITS ETF 1C</t>
        </is>
      </c>
      <c r="C30" t="inlineStr">
        <is>
          <t>LU0484969463</t>
        </is>
      </c>
      <c r="D30" s="5" t="inlineStr">
        <is>
          <t>Govt</t>
        </is>
      </c>
      <c r="E30" s="5" t="inlineStr">
        <is>
          <t>Acc</t>
        </is>
      </c>
      <c r="F30" s="6" t="n">
        <v>47391</v>
      </c>
      <c r="G30" s="7">
        <f>IF(F30="","",MAX(0,YEARFRAC(TODAY(),F30)))</f>
        <v/>
      </c>
      <c r="H30" s="8" t="n">
        <v>0.0297</v>
      </c>
      <c r="I30" s="8" t="n">
        <v>0.0348</v>
      </c>
      <c r="J30" s="9" t="n">
        <v>0</v>
      </c>
      <c r="K30" s="9" t="n">
        <v>-0.0008</v>
      </c>
      <c r="L30" s="9" t="n"/>
      <c r="M30" s="8" t="n">
        <v>0.0012</v>
      </c>
      <c r="N30" s="10">
        <f>IF(D30="Govt",$B$1,$B$2)</f>
        <v/>
      </c>
      <c r="O30" s="8">
        <f>IF(I30="","",I30*(1-N30))</f>
        <v/>
      </c>
      <c r="P30" s="11">
        <f>IF(I30="","",(I30-M30)*(1-N30))</f>
        <v/>
      </c>
      <c r="Q30" s="12" t="n">
        <v>204.93</v>
      </c>
    </row>
    <row r="31">
      <c r="A31" t="inlineStr">
        <is>
          <t>iShares</t>
        </is>
      </c>
      <c r="B31" t="inlineStr">
        <is>
          <t>iShares iBonds Dec 2028 Term € Italy Govt Bond UCITS ETF</t>
        </is>
      </c>
      <c r="C31" t="inlineStr">
        <is>
          <t>IE000Q2EQ5K8</t>
        </is>
      </c>
      <c r="D31" s="5" t="inlineStr">
        <is>
          <t>Govt</t>
        </is>
      </c>
      <c r="E31" s="5" t="inlineStr">
        <is>
          <t>Dist</t>
        </is>
      </c>
      <c r="F31" s="6" t="n">
        <v>47118</v>
      </c>
      <c r="G31" s="7">
        <f>IF(F31="","",MAX(0,YEARFRAC(TODAY(),F31)))</f>
        <v/>
      </c>
      <c r="H31" s="8" t="n">
        <v>0.0261</v>
      </c>
      <c r="I31" s="8" t="n">
        <v>0.0342</v>
      </c>
      <c r="J31" s="9" t="n">
        <v>-0.0001</v>
      </c>
      <c r="K31" s="9" t="n">
        <v>-0.0008</v>
      </c>
      <c r="L31" s="9" t="n"/>
      <c r="M31" s="8" t="n">
        <v>0.0012</v>
      </c>
      <c r="N31" s="10">
        <f>IF(D31="Govt",$B$1,$B$2)</f>
        <v/>
      </c>
      <c r="O31" s="8">
        <f>IF(I31="","",I31*(1-N31))</f>
        <v/>
      </c>
      <c r="P31" s="11">
        <f>IF(I31="","",(I31-M31)*(1-N31))</f>
        <v/>
      </c>
      <c r="Q31" s="12" t="n">
        <v>5.07</v>
      </c>
    </row>
    <row r="32">
      <c r="A32" t="inlineStr">
        <is>
          <t>Invesco</t>
        </is>
      </c>
      <c r="B32" t="inlineStr">
        <is>
          <t>Invesco BulletShares 2029 EUR Corporate Bond UCITS ETF Acc</t>
        </is>
      </c>
      <c r="C32" t="inlineStr">
        <is>
          <t>IE000P5IB8I8</t>
        </is>
      </c>
      <c r="D32" s="5" t="inlineStr">
        <is>
          <t>Corp</t>
        </is>
      </c>
      <c r="E32" s="5" t="inlineStr">
        <is>
          <t>Acc</t>
        </is>
      </c>
      <c r="F32" s="6" t="n">
        <v>47483</v>
      </c>
      <c r="G32" s="7">
        <f>IF(F32="","",MAX(0,YEARFRAC(TODAY(),F32)))</f>
        <v/>
      </c>
      <c r="H32" s="8" t="n">
        <v>0.0242</v>
      </c>
      <c r="I32" s="8" t="n">
        <v>0.0399</v>
      </c>
      <c r="J32" s="9" t="n">
        <v>0.0007</v>
      </c>
      <c r="K32" s="9" t="n">
        <v>0.0015</v>
      </c>
      <c r="L32" s="9" t="n"/>
      <c r="M32" s="8" t="n">
        <v>0.001</v>
      </c>
      <c r="N32" s="10">
        <f>IF(D32="Govt",$B$1,$B$2)</f>
        <v/>
      </c>
      <c r="O32" s="8">
        <f>IF(I32="","",I32*(1-N32))</f>
        <v/>
      </c>
      <c r="P32" s="11">
        <f>IF(I32="","",(I32-M32)*(1-N32))</f>
        <v/>
      </c>
      <c r="Q32" s="12" t="n">
        <v>5.4272</v>
      </c>
    </row>
    <row r="33">
      <c r="A33" t="inlineStr">
        <is>
          <t>Invesco</t>
        </is>
      </c>
      <c r="B33" t="inlineStr">
        <is>
          <t>Invesco BulletShares 2029 EUR Corporate Bond UCITS ETF Dist</t>
        </is>
      </c>
      <c r="C33" t="inlineStr">
        <is>
          <t>IE000ZC4C5Q1</t>
        </is>
      </c>
      <c r="D33" s="5" t="inlineStr">
        <is>
          <t>Corp</t>
        </is>
      </c>
      <c r="E33" s="5" t="inlineStr">
        <is>
          <t>Dist</t>
        </is>
      </c>
      <c r="F33" s="6" t="n">
        <v>47483</v>
      </c>
      <c r="G33" s="7">
        <f>IF(F33="","",MAX(0,YEARFRAC(TODAY(),F33)))</f>
        <v/>
      </c>
      <c r="H33" s="8" t="n">
        <v>0.0242</v>
      </c>
      <c r="I33" s="8" t="n">
        <v>0.0399</v>
      </c>
      <c r="J33" s="9" t="n">
        <v>0.0007</v>
      </c>
      <c r="K33" s="9" t="n">
        <v>0.0015</v>
      </c>
      <c r="L33" s="9" t="n"/>
      <c r="M33" s="8" t="n">
        <v>0.001</v>
      </c>
      <c r="N33" s="10">
        <f>IF(D33="Govt",$B$1,$B$2)</f>
        <v/>
      </c>
      <c r="O33" s="8">
        <f>IF(I33="","",I33*(1-N33))</f>
        <v/>
      </c>
      <c r="P33" s="11">
        <f>IF(I33="","",(I33-M33)*(1-N33))</f>
        <v/>
      </c>
      <c r="Q33" s="12" t="n">
        <v>5.0572</v>
      </c>
    </row>
    <row r="34">
      <c r="A34" t="inlineStr">
        <is>
          <t>iShares</t>
        </is>
      </c>
      <c r="B34" t="inlineStr">
        <is>
          <t>iShares iBonds Dec 2029 Term € Corp UCITS ETF</t>
        </is>
      </c>
      <c r="C34" t="inlineStr">
        <is>
          <t>IE000IHURBR0</t>
        </is>
      </c>
      <c r="D34" s="5" t="inlineStr">
        <is>
          <t>Corp</t>
        </is>
      </c>
      <c r="E34" s="5" t="inlineStr">
        <is>
          <t>Dist</t>
        </is>
      </c>
      <c r="F34" s="6" t="n">
        <v>47483</v>
      </c>
      <c r="G34" s="7">
        <f>IF(F34="","",MAX(0,YEARFRAC(TODAY(),F34)))</f>
        <v/>
      </c>
      <c r="H34" s="8" t="n">
        <v>0.0253</v>
      </c>
      <c r="I34" s="8" t="n">
        <v>0.0398</v>
      </c>
      <c r="J34" s="9" t="n">
        <v>0.0007</v>
      </c>
      <c r="K34" s="9" t="n">
        <v>0</v>
      </c>
      <c r="L34" s="9" t="n"/>
      <c r="M34" s="8" t="n">
        <v>0.0012</v>
      </c>
      <c r="N34" s="10">
        <f>IF(D34="Govt",$B$1,$B$2)</f>
        <v/>
      </c>
      <c r="O34" s="8">
        <f>IF(I34="","",I34*(1-N34))</f>
        <v/>
      </c>
      <c r="P34" s="11">
        <f>IF(I34="","",(I34-M34)*(1-N34))</f>
        <v/>
      </c>
      <c r="Q34" s="12" t="n">
        <v>5.03</v>
      </c>
    </row>
    <row r="35">
      <c r="A35" t="inlineStr">
        <is>
          <t>Amundi</t>
        </is>
      </c>
      <c r="B35" t="inlineStr">
        <is>
          <t>Amundi Fixed Maturity 2028 Euro Government Bond Yield + UCITS ETF Dist</t>
        </is>
      </c>
      <c r="C35" t="inlineStr">
        <is>
          <t>LU2780871666</t>
        </is>
      </c>
      <c r="D35" s="5" t="inlineStr">
        <is>
          <t>Govt</t>
        </is>
      </c>
      <c r="E35" s="5" t="inlineStr">
        <is>
          <t>Dist</t>
        </is>
      </c>
      <c r="F35" s="6" t="n">
        <v>47118</v>
      </c>
      <c r="G35" s="7">
        <f>IF(F35="","",MAX(0,YEARFRAC(TODAY(),F35)))</f>
        <v/>
      </c>
      <c r="H35" s="8" t="n">
        <v>0.0229</v>
      </c>
      <c r="I35" s="8" t="n">
        <v>0.0334</v>
      </c>
      <c r="J35" s="9" t="n">
        <v>-0.0002</v>
      </c>
      <c r="K35" s="9" t="n">
        <v>0.0002</v>
      </c>
      <c r="L35" s="9" t="n"/>
      <c r="M35" s="8" t="n">
        <v>0.0009</v>
      </c>
      <c r="N35" s="10">
        <f>IF(D35="Govt",$B$1,$B$2)</f>
        <v/>
      </c>
      <c r="O35" s="8">
        <f>IF(I35="","",I35*(1-N35))</f>
        <v/>
      </c>
      <c r="P35" s="11">
        <f>IF(I35="","",(I35-M35)*(1-N35))</f>
        <v/>
      </c>
      <c r="Q35" s="12" t="n">
        <v>10.3051</v>
      </c>
    </row>
    <row r="36">
      <c r="A36" t="inlineStr">
        <is>
          <t>DWS</t>
        </is>
      </c>
      <c r="B36" t="inlineStr">
        <is>
          <t>Xtrackers II Target Maturity Sept 2029 EUR Corporate Bond UCITS ETF 1D</t>
        </is>
      </c>
      <c r="C36" t="inlineStr">
        <is>
          <t>LU2673523309</t>
        </is>
      </c>
      <c r="D36" s="5" t="inlineStr">
        <is>
          <t>Corp</t>
        </is>
      </c>
      <c r="E36" s="5" t="inlineStr">
        <is>
          <t>Dist</t>
        </is>
      </c>
      <c r="F36" s="6" t="n">
        <v>47391</v>
      </c>
      <c r="G36" s="7">
        <f>IF(F36="","",MAX(0,YEARFRAC(TODAY(),F36)))</f>
        <v/>
      </c>
      <c r="H36" s="8" t="n">
        <v>0.0245</v>
      </c>
      <c r="I36" s="8" t="n">
        <v>0.0395</v>
      </c>
      <c r="J36" s="9" t="n">
        <v>0.0007</v>
      </c>
      <c r="K36" s="9" t="n">
        <v>0.0002</v>
      </c>
      <c r="L36" s="9" t="n"/>
      <c r="M36" s="8" t="n">
        <v>0.0012</v>
      </c>
      <c r="N36" s="10">
        <f>IF(D36="Govt",$B$1,$B$2)</f>
        <v/>
      </c>
      <c r="O36" s="8">
        <f>IF(I36="","",I36*(1-N36))</f>
        <v/>
      </c>
      <c r="P36" s="11">
        <f>IF(I36="","",(I36-M36)*(1-N36))</f>
        <v/>
      </c>
      <c r="Q36" s="12" t="n">
        <v>25.77</v>
      </c>
    </row>
    <row r="37">
      <c r="A37" t="inlineStr">
        <is>
          <t>DWS</t>
        </is>
      </c>
      <c r="B37" t="inlineStr">
        <is>
          <t>Xtrackers II Target Maturity Sept 2029 EUR Corporate Bond UCITS ETF 1C</t>
        </is>
      </c>
      <c r="C37" t="inlineStr">
        <is>
          <t>LU2673522913</t>
        </is>
      </c>
      <c r="D37" s="5" t="inlineStr">
        <is>
          <t>Corp</t>
        </is>
      </c>
      <c r="E37" s="5" t="inlineStr">
        <is>
          <t>Acc</t>
        </is>
      </c>
      <c r="F37" s="6" t="n">
        <v>47391</v>
      </c>
      <c r="G37" s="7">
        <f>IF(F37="","",MAX(0,YEARFRAC(TODAY(),F37)))</f>
        <v/>
      </c>
      <c r="H37" s="8" t="n">
        <v>0.0245</v>
      </c>
      <c r="I37" s="8" t="n">
        <v>0.0395</v>
      </c>
      <c r="J37" s="9" t="n">
        <v>0.0007</v>
      </c>
      <c r="K37" s="9" t="n">
        <v>0.0002</v>
      </c>
      <c r="L37" s="9" t="n"/>
      <c r="M37" s="8" t="n">
        <v>0.0012</v>
      </c>
      <c r="N37" s="10">
        <f>IF(D37="Govt",$B$1,$B$2)</f>
        <v/>
      </c>
      <c r="O37" s="8">
        <f>IF(I37="","",I37*(1-N37))</f>
        <v/>
      </c>
      <c r="P37" s="11">
        <f>IF(I37="","",(I37-M37)*(1-N37))</f>
        <v/>
      </c>
      <c r="Q37" s="12" t="n">
        <v>9.16</v>
      </c>
    </row>
    <row r="38">
      <c r="A38" t="inlineStr">
        <is>
          <t>Amundi</t>
        </is>
      </c>
      <c r="B38" t="inlineStr">
        <is>
          <t>Amundi Fixed Maturity 2028 Euro Government Bond Broad UCITS ETF Dist</t>
        </is>
      </c>
      <c r="C38" t="inlineStr">
        <is>
          <t>LU2780871401</t>
        </is>
      </c>
      <c r="D38" s="5" t="inlineStr">
        <is>
          <t>Govt</t>
        </is>
      </c>
      <c r="E38" s="5" t="inlineStr">
        <is>
          <t>Dist</t>
        </is>
      </c>
      <c r="F38" s="6" t="n">
        <v>47118</v>
      </c>
      <c r="G38" s="7">
        <f>IF(F38="","",MAX(0,YEARFRAC(TODAY(),F38)))</f>
        <v/>
      </c>
      <c r="H38" s="8" t="n">
        <v>0.0184</v>
      </c>
      <c r="I38" s="8" t="n">
        <v>0.0331</v>
      </c>
      <c r="J38" s="9" t="n">
        <v>-0.0002</v>
      </c>
      <c r="K38" s="9" t="n">
        <v>0.0003</v>
      </c>
      <c r="L38" s="9" t="n"/>
      <c r="M38" s="8" t="n">
        <v>0.0009</v>
      </c>
      <c r="N38" s="10">
        <f>IF(D38="Govt",$B$1,$B$2)</f>
        <v/>
      </c>
      <c r="O38" s="8">
        <f>IF(I38="","",I38*(1-N38))</f>
        <v/>
      </c>
      <c r="P38" s="11">
        <f>IF(I38="","",(I38-M38)*(1-N38))</f>
        <v/>
      </c>
      <c r="Q38" s="12" t="n">
        <v>10.2911</v>
      </c>
    </row>
    <row r="39">
      <c r="A39" t="inlineStr">
        <is>
          <t>Amundi</t>
        </is>
      </c>
      <c r="B39" t="inlineStr">
        <is>
          <t>Amundi Fixed Maturity 2028 Euro Government Bond Broad UCITS ETF Acc</t>
        </is>
      </c>
      <c r="C39" t="inlineStr">
        <is>
          <t>LU2780871310</t>
        </is>
      </c>
      <c r="D39" s="5" t="inlineStr">
        <is>
          <t>Govt</t>
        </is>
      </c>
      <c r="E39" s="5" t="inlineStr">
        <is>
          <t>Acc</t>
        </is>
      </c>
      <c r="F39" s="6" t="n">
        <v>47118</v>
      </c>
      <c r="G39" s="7">
        <f>IF(F39="","",MAX(0,YEARFRAC(TODAY(),F39)))</f>
        <v/>
      </c>
      <c r="H39" s="8" t="n">
        <v>0.0184</v>
      </c>
      <c r="I39" s="8" t="n">
        <v>0.0331</v>
      </c>
      <c r="J39" s="9" t="n">
        <v>-0.0002</v>
      </c>
      <c r="K39" s="9" t="n">
        <v>0.0003</v>
      </c>
      <c r="L39" s="9" t="n"/>
      <c r="M39" s="8" t="n">
        <v>0.0009</v>
      </c>
      <c r="N39" s="10">
        <f>IF(D39="Govt",$B$1,$B$2)</f>
        <v/>
      </c>
      <c r="O39" s="8">
        <f>IF(I39="","",I39*(1-N39))</f>
        <v/>
      </c>
      <c r="P39" s="11">
        <f>IF(I39="","",(I39-M39)*(1-N39))</f>
        <v/>
      </c>
      <c r="Q39" s="12" t="n">
        <v>10.0902</v>
      </c>
    </row>
    <row r="40">
      <c r="A40" t="inlineStr">
        <is>
          <t>BNP Paribas</t>
        </is>
      </c>
      <c r="B40" t="inlineStr">
        <is>
          <t>BNP PARIBAS EASY ESG ENHANCED EUR CORP BOND DECEMBER 2029 UCITS ETF C</t>
        </is>
      </c>
      <c r="C40" t="inlineStr">
        <is>
          <t>LU2823896811</t>
        </is>
      </c>
      <c r="D40" s="5" t="inlineStr">
        <is>
          <t>Corp</t>
        </is>
      </c>
      <c r="E40" s="5" t="inlineStr">
        <is>
          <t>Acc</t>
        </is>
      </c>
      <c r="F40" s="6" t="n">
        <v>47483</v>
      </c>
      <c r="G40" s="7">
        <f>IF(F40="","",MAX(0,YEARFRAC(TODAY(),F40)))</f>
        <v/>
      </c>
      <c r="H40" s="8" t="n">
        <v>0.0235</v>
      </c>
      <c r="I40" s="8" t="n">
        <v>0.0392</v>
      </c>
      <c r="J40" s="9" t="n">
        <v>0.0005999999999999999</v>
      </c>
      <c r="K40" s="9" t="n">
        <v>0.0002</v>
      </c>
      <c r="L40" s="9" t="n"/>
      <c r="M40" s="8" t="n">
        <v>0.0012</v>
      </c>
      <c r="N40" s="10">
        <f>IF(D40="Govt",$B$1,$B$2)</f>
        <v/>
      </c>
      <c r="O40" s="8">
        <f>IF(I40="","",I40*(1-N40))</f>
        <v/>
      </c>
      <c r="P40" s="11">
        <f>IF(I40="","",(I40-M40)*(1-N40))</f>
        <v/>
      </c>
      <c r="Q40" s="12" t="n">
        <v>10.6691</v>
      </c>
    </row>
    <row r="41">
      <c r="A41" t="inlineStr">
        <is>
          <t>BNP Paribas</t>
        </is>
      </c>
      <c r="B41" t="inlineStr">
        <is>
          <t>BNP PARIBAS EASY ESG ENHANCED EUR CORP BOND DECEMBER 2029 UCITS ETF D</t>
        </is>
      </c>
      <c r="C41" t="inlineStr">
        <is>
          <t>LU2823896738</t>
        </is>
      </c>
      <c r="D41" s="5" t="inlineStr">
        <is>
          <t>Corp</t>
        </is>
      </c>
      <c r="E41" s="5" t="inlineStr">
        <is>
          <t>Dist</t>
        </is>
      </c>
      <c r="F41" s="6" t="n">
        <v>47483</v>
      </c>
      <c r="G41" s="7">
        <f>IF(F41="","",MAX(0,YEARFRAC(TODAY(),F41)))</f>
        <v/>
      </c>
      <c r="H41" s="8" t="n">
        <v>0.0235</v>
      </c>
      <c r="I41" s="8" t="n">
        <v>0.0392</v>
      </c>
      <c r="J41" s="9" t="n">
        <v>0.0005999999999999999</v>
      </c>
      <c r="K41" s="9" t="n">
        <v>0.0002</v>
      </c>
      <c r="L41" s="9" t="n"/>
      <c r="M41" s="8" t="n">
        <v>0.0012</v>
      </c>
      <c r="N41" s="10">
        <f>IF(D41="Govt",$B$1,$B$2)</f>
        <v/>
      </c>
      <c r="O41" s="8">
        <f>IF(I41="","",I41*(1-N41))</f>
        <v/>
      </c>
      <c r="P41" s="11">
        <f>IF(I41="","",(I41-M41)*(1-N41))</f>
        <v/>
      </c>
      <c r="Q41" s="12" t="n">
        <v>10.2931</v>
      </c>
    </row>
    <row r="42">
      <c r="A42" t="inlineStr">
        <is>
          <t>Invesco</t>
        </is>
      </c>
      <c r="B42" t="inlineStr">
        <is>
          <t>Invesco BulletShares 2028 EUR Corporate Bond UCITS ETF Acc</t>
        </is>
      </c>
      <c r="C42" t="inlineStr">
        <is>
          <t>IE00079EUF59</t>
        </is>
      </c>
      <c r="D42" s="5" t="inlineStr">
        <is>
          <t>Corp</t>
        </is>
      </c>
      <c r="E42" s="5" t="inlineStr">
        <is>
          <t>Acc</t>
        </is>
      </c>
      <c r="F42" s="6" t="n">
        <v>47118</v>
      </c>
      <c r="G42" s="7">
        <f>IF(F42="","",MAX(0,YEARFRAC(TODAY(),F42)))</f>
        <v/>
      </c>
      <c r="H42" s="8" t="n">
        <v>0.0242</v>
      </c>
      <c r="I42" s="8" t="n">
        <v>0.0387</v>
      </c>
      <c r="J42" s="9" t="n">
        <v>0.0005999999999999999</v>
      </c>
      <c r="K42" s="9" t="n">
        <v>0.002</v>
      </c>
      <c r="L42" s="9" t="n"/>
      <c r="M42" s="8" t="n">
        <v>0.001</v>
      </c>
      <c r="N42" s="10">
        <f>IF(D42="Govt",$B$1,$B$2)</f>
        <v/>
      </c>
      <c r="O42" s="8">
        <f>IF(I42="","",I42*(1-N42))</f>
        <v/>
      </c>
      <c r="P42" s="11">
        <f>IF(I42="","",(I42-M42)*(1-N42))</f>
        <v/>
      </c>
      <c r="Q42" s="12" t="n">
        <v>5.5737</v>
      </c>
    </row>
    <row r="43">
      <c r="A43" t="inlineStr">
        <is>
          <t>Invesco</t>
        </is>
      </c>
      <c r="B43" t="inlineStr">
        <is>
          <t>Invesco BulletShares 2028 EUR Corporate Bond UCITS ETF Dist</t>
        </is>
      </c>
      <c r="C43" t="inlineStr">
        <is>
          <t>IE000LKGEZQ6</t>
        </is>
      </c>
      <c r="D43" s="5" t="inlineStr">
        <is>
          <t>Corp</t>
        </is>
      </c>
      <c r="E43" s="5" t="inlineStr">
        <is>
          <t>Dist</t>
        </is>
      </c>
      <c r="F43" s="6" t="n">
        <v>47118</v>
      </c>
      <c r="G43" s="7">
        <f>IF(F43="","",MAX(0,YEARFRAC(TODAY(),F43)))</f>
        <v/>
      </c>
      <c r="H43" s="8" t="n">
        <v>0.0242</v>
      </c>
      <c r="I43" s="8" t="n">
        <v>0.0387</v>
      </c>
      <c r="J43" s="9" t="n">
        <v>0.0005999999999999999</v>
      </c>
      <c r="K43" s="9" t="n">
        <v>0.002</v>
      </c>
      <c r="L43" s="9" t="n"/>
      <c r="M43" s="8" t="n">
        <v>0.001</v>
      </c>
      <c r="N43" s="10">
        <f>IF(D43="Govt",$B$1,$B$2)</f>
        <v/>
      </c>
      <c r="O43" s="8">
        <f>IF(I43="","",I43*(1-N43))</f>
        <v/>
      </c>
      <c r="P43" s="11">
        <f>IF(I43="","",(I43-M43)*(1-N43))</f>
        <v/>
      </c>
      <c r="Q43" s="12" t="n">
        <v>5.2127</v>
      </c>
    </row>
    <row r="44">
      <c r="A44" t="inlineStr">
        <is>
          <t>iShares</t>
        </is>
      </c>
      <c r="B44" t="inlineStr">
        <is>
          <t>iShares iBonds Dec 2028 Term € Corp UCITS ETF</t>
        </is>
      </c>
      <c r="C44" t="inlineStr">
        <is>
          <t>IE000264WWY0</t>
        </is>
      </c>
      <c r="D44" s="5" t="inlineStr">
        <is>
          <t>Corp</t>
        </is>
      </c>
      <c r="E44" s="5" t="inlineStr">
        <is>
          <t>Dist</t>
        </is>
      </c>
      <c r="F44" s="6" t="n">
        <v>47118</v>
      </c>
      <c r="G44" s="7">
        <f>IF(F44="","",MAX(0,YEARFRAC(TODAY(),F44)))</f>
        <v/>
      </c>
      <c r="H44" s="8" t="n">
        <v>0.0214</v>
      </c>
      <c r="I44" s="8" t="n">
        <v>0.0382</v>
      </c>
      <c r="J44" s="9" t="n">
        <v>0.0007</v>
      </c>
      <c r="K44" s="9" t="n">
        <v>0.0007</v>
      </c>
      <c r="L44" s="9" t="n"/>
      <c r="M44" s="8" t="n">
        <v>0.0012</v>
      </c>
      <c r="N44" s="10">
        <f>IF(D44="Govt",$B$1,$B$2)</f>
        <v/>
      </c>
      <c r="O44" s="8">
        <f>IF(I44="","",I44*(1-N44))</f>
        <v/>
      </c>
      <c r="P44" s="11">
        <f>IF(I44="","",(I44-M44)*(1-N44))</f>
        <v/>
      </c>
      <c r="Q44" s="12" t="n">
        <v>5.1</v>
      </c>
    </row>
    <row r="45">
      <c r="A45" t="inlineStr">
        <is>
          <t>DWS</t>
        </is>
      </c>
      <c r="B45" t="inlineStr">
        <is>
          <t>Xtrackers II Target Maturity Sept 2028 EUR Corporate Bond UCITS ETF 1D</t>
        </is>
      </c>
      <c r="C45" t="inlineStr">
        <is>
          <t>LU2810185665</t>
        </is>
      </c>
      <c r="D45" s="5" t="inlineStr">
        <is>
          <t>Corp</t>
        </is>
      </c>
      <c r="E45" s="5" t="inlineStr">
        <is>
          <t>Dist</t>
        </is>
      </c>
      <c r="F45" s="6" t="n">
        <v>47026</v>
      </c>
      <c r="G45" s="7">
        <f>IF(F45="","",MAX(0,YEARFRAC(TODAY(),F45)))</f>
        <v/>
      </c>
      <c r="H45" s="8" t="n">
        <v>0.0207</v>
      </c>
      <c r="I45" s="8" t="n">
        <v>0.0378</v>
      </c>
      <c r="J45" s="9" t="n">
        <v>0.0005999999999999999</v>
      </c>
      <c r="K45" s="9" t="n">
        <v>0.0008</v>
      </c>
      <c r="L45" s="9" t="n"/>
      <c r="M45" s="8" t="n">
        <v>0.0012</v>
      </c>
      <c r="N45" s="10">
        <f>IF(D45="Govt",$B$1,$B$2)</f>
        <v/>
      </c>
      <c r="O45" s="8">
        <f>IF(I45="","",I45*(1-N45))</f>
        <v/>
      </c>
      <c r="P45" s="11">
        <f>IF(I45="","",(I45-M45)*(1-N45))</f>
        <v/>
      </c>
      <c r="Q45" s="12" t="n">
        <v>35.77</v>
      </c>
    </row>
    <row r="46">
      <c r="A46" t="inlineStr">
        <is>
          <t>Amundi</t>
        </is>
      </c>
      <c r="B46" t="inlineStr">
        <is>
          <t>Amundi Fixed Maturity 2027 Italy BTP Government Bond UCITS ETF Dist</t>
        </is>
      </c>
      <c r="C46" t="inlineStr">
        <is>
          <t>LU2780872128</t>
        </is>
      </c>
      <c r="D46" s="5" t="inlineStr">
        <is>
          <t>Govt</t>
        </is>
      </c>
      <c r="E46" s="5" t="inlineStr">
        <is>
          <t>Dist</t>
        </is>
      </c>
      <c r="F46" s="6" t="n">
        <v>46752</v>
      </c>
      <c r="G46" s="7">
        <f>IF(F46="","",MAX(0,YEARFRAC(TODAY(),F46)))</f>
        <v/>
      </c>
      <c r="H46" s="8" t="n">
        <v>0.0265</v>
      </c>
      <c r="I46" s="8" t="n">
        <v>0.0309</v>
      </c>
      <c r="J46" s="9" t="n">
        <v>-0.0002</v>
      </c>
      <c r="K46" s="9" t="n">
        <v>0.0003</v>
      </c>
      <c r="L46" s="9" t="n"/>
      <c r="M46" s="8" t="n">
        <v>0.0009</v>
      </c>
      <c r="N46" s="10">
        <f>IF(D46="Govt",$B$1,$B$2)</f>
        <v/>
      </c>
      <c r="O46" s="8">
        <f>IF(I46="","",I46*(1-N46))</f>
        <v/>
      </c>
      <c r="P46" s="11">
        <f>IF(I46="","",(I46-M46)*(1-N46))</f>
        <v/>
      </c>
      <c r="Q46" s="12" t="n">
        <v>10.3491</v>
      </c>
    </row>
    <row r="47">
      <c r="A47" t="inlineStr">
        <is>
          <t>Amundi</t>
        </is>
      </c>
      <c r="B47" t="inlineStr">
        <is>
          <t>Amundi Fixed Maturity 2027 Euro Government Bond Broad UCITS ETF Acc</t>
        </is>
      </c>
      <c r="C47" t="inlineStr">
        <is>
          <t>LU2872291435</t>
        </is>
      </c>
      <c r="D47" s="5" t="inlineStr">
        <is>
          <t>Govt</t>
        </is>
      </c>
      <c r="E47" s="5" t="inlineStr">
        <is>
          <t>Acc</t>
        </is>
      </c>
      <c r="F47" s="6" t="n">
        <v>46752</v>
      </c>
      <c r="G47" s="7">
        <f>IF(F47="","",MAX(0,YEARFRAC(TODAY(),F47)))</f>
        <v/>
      </c>
      <c r="H47" s="8" t="n">
        <v>0.015</v>
      </c>
      <c r="I47" s="8" t="n">
        <v>0.0297</v>
      </c>
      <c r="J47" s="9" t="n">
        <v>-0.0003</v>
      </c>
      <c r="K47" s="9" t="n">
        <v>-0.0001</v>
      </c>
      <c r="L47" s="9" t="n"/>
      <c r="M47" s="8" t="n">
        <v>0.0009</v>
      </c>
      <c r="N47" s="10">
        <f>IF(D47="Govt",$B$1,$B$2)</f>
        <v/>
      </c>
      <c r="O47" s="8">
        <f>IF(I47="","",I47*(1-N47))</f>
        <v/>
      </c>
      <c r="P47" s="11">
        <f>IF(I47="","",(I47-M47)*(1-N47))</f>
        <v/>
      </c>
      <c r="Q47" s="12" t="n">
        <v>10.1856</v>
      </c>
    </row>
    <row r="48">
      <c r="A48" t="inlineStr">
        <is>
          <t>Invesco</t>
        </is>
      </c>
      <c r="B48" t="inlineStr">
        <is>
          <t>Invesco BulletShares 2027 EUR Corporate Bond UCITS ETF Acc</t>
        </is>
      </c>
      <c r="C48" t="inlineStr">
        <is>
          <t>IE000LGHLQ71</t>
        </is>
      </c>
      <c r="D48" s="5" t="inlineStr">
        <is>
          <t>Corp</t>
        </is>
      </c>
      <c r="E48" s="5" t="inlineStr">
        <is>
          <t>Acc</t>
        </is>
      </c>
      <c r="F48" s="6" t="n">
        <v>46752</v>
      </c>
      <c r="G48" s="7">
        <f>IF(F48="","",MAX(0,YEARFRAC(TODAY(),F48)))</f>
        <v/>
      </c>
      <c r="H48" s="8" t="n">
        <v>0.0197</v>
      </c>
      <c r="I48" s="8" t="n">
        <v>0.0347</v>
      </c>
      <c r="J48" s="9" t="n">
        <v>-0.0001</v>
      </c>
      <c r="K48" s="9" t="n">
        <v>0.0021</v>
      </c>
      <c r="L48" s="9" t="n"/>
      <c r="M48" s="8" t="n">
        <v>0.001</v>
      </c>
      <c r="N48" s="10">
        <f>IF(D48="Govt",$B$1,$B$2)</f>
        <v/>
      </c>
      <c r="O48" s="8">
        <f>IF(I48="","",I48*(1-N48))</f>
        <v/>
      </c>
      <c r="P48" s="11">
        <f>IF(I48="","",(I48-M48)*(1-N48))</f>
        <v/>
      </c>
      <c r="Q48" s="12" t="n">
        <v>5.7128</v>
      </c>
    </row>
    <row r="49">
      <c r="A49" t="inlineStr">
        <is>
          <t>Invesco</t>
        </is>
      </c>
      <c r="B49" t="inlineStr">
        <is>
          <t>Invesco BulletShares 2027 EUR Corporate Bond UCITS ETF Dist</t>
        </is>
      </c>
      <c r="C49" t="inlineStr">
        <is>
          <t>IE000XOS4OJ6</t>
        </is>
      </c>
      <c r="D49" s="5" t="inlineStr">
        <is>
          <t>Corp</t>
        </is>
      </c>
      <c r="E49" s="5" t="inlineStr">
        <is>
          <t>Dist</t>
        </is>
      </c>
      <c r="F49" s="6" t="n">
        <v>46752</v>
      </c>
      <c r="G49" s="7">
        <f>IF(F49="","",MAX(0,YEARFRAC(TODAY(),F49)))</f>
        <v/>
      </c>
      <c r="H49" s="8" t="n">
        <v>0.0197</v>
      </c>
      <c r="I49" s="8" t="n">
        <v>0.0347</v>
      </c>
      <c r="J49" s="9" t="n">
        <v>-0.0001</v>
      </c>
      <c r="K49" s="9" t="n">
        <v>0.0021</v>
      </c>
      <c r="L49" s="9" t="n"/>
      <c r="M49" s="8" t="n">
        <v>0.001</v>
      </c>
      <c r="N49" s="10">
        <f>IF(D49="Govt",$B$1,$B$2)</f>
        <v/>
      </c>
      <c r="O49" s="8">
        <f>IF(I49="","",I49*(1-N49))</f>
        <v/>
      </c>
      <c r="P49" s="11">
        <f>IF(I49="","",(I49-M49)*(1-N49))</f>
        <v/>
      </c>
      <c r="Q49" s="12" t="n">
        <v>5.3402</v>
      </c>
    </row>
    <row r="50">
      <c r="A50" t="inlineStr">
        <is>
          <t>iShares</t>
        </is>
      </c>
      <c r="B50" t="inlineStr">
        <is>
          <t>iShares iBonds Dec 2027 Term € Corp UCITS ETF</t>
        </is>
      </c>
      <c r="C50" t="inlineStr">
        <is>
          <t>IE000ZOI8OK5</t>
        </is>
      </c>
      <c r="D50" s="5" t="inlineStr">
        <is>
          <t>Corp</t>
        </is>
      </c>
      <c r="E50" s="5" t="inlineStr">
        <is>
          <t>Acc</t>
        </is>
      </c>
      <c r="F50" s="6" t="n">
        <v>46752</v>
      </c>
      <c r="G50" s="7">
        <f>IF(F50="","",MAX(0,YEARFRAC(TODAY(),F50)))</f>
        <v/>
      </c>
      <c r="H50" s="8" t="n">
        <v>0.0195</v>
      </c>
      <c r="I50" s="8" t="n">
        <v>0.034</v>
      </c>
      <c r="J50" s="9" t="n">
        <v>0.0004</v>
      </c>
      <c r="K50" s="9" t="n">
        <v>0.0012</v>
      </c>
      <c r="L50" s="9" t="n"/>
      <c r="M50" s="8" t="n">
        <v>0.0012</v>
      </c>
      <c r="N50" s="10">
        <f>IF(D50="Govt",$B$1,$B$2)</f>
        <v/>
      </c>
      <c r="O50" s="8">
        <f>IF(I50="","",I50*(1-N50))</f>
        <v/>
      </c>
      <c r="P50" s="11">
        <f>IF(I50="","",(I50-M50)*(1-N50))</f>
        <v/>
      </c>
      <c r="Q50" s="12" t="n">
        <v>5.65</v>
      </c>
    </row>
    <row r="51">
      <c r="A51" t="inlineStr">
        <is>
          <t>Amundi</t>
        </is>
      </c>
      <c r="B51" t="inlineStr">
        <is>
          <t>Amundi Fixed Maturity 2027 German Bund Government Bond UCITS ETF Dist</t>
        </is>
      </c>
      <c r="C51" t="inlineStr">
        <is>
          <t>LU2780871823</t>
        </is>
      </c>
      <c r="D51" s="5" t="inlineStr">
        <is>
          <t>Govt</t>
        </is>
      </c>
      <c r="E51" s="5" t="inlineStr">
        <is>
          <t>Dist</t>
        </is>
      </c>
      <c r="F51" s="6" t="n">
        <v>46752</v>
      </c>
      <c r="G51" s="7">
        <f>IF(F51="","",MAX(0,YEARFRAC(TODAY(),F51)))</f>
        <v/>
      </c>
      <c r="H51" s="8" t="n">
        <v>0.0105</v>
      </c>
      <c r="I51" s="8" t="n">
        <v>0.0281</v>
      </c>
      <c r="J51" s="9" t="n">
        <v>-0.0005</v>
      </c>
      <c r="K51" s="9" t="n">
        <v>-0.0012</v>
      </c>
      <c r="L51" s="9" t="n"/>
      <c r="M51" s="8" t="n">
        <v>0.0009</v>
      </c>
      <c r="N51" s="10">
        <f>IF(D51="Govt",$B$1,$B$2)</f>
        <v/>
      </c>
      <c r="O51" s="8">
        <f>IF(I51="","",I51*(1-N51))</f>
        <v/>
      </c>
      <c r="P51" s="11">
        <f>IF(I51="","",(I51-M51)*(1-N51))</f>
        <v/>
      </c>
      <c r="Q51" s="12" t="n">
        <v>10.3607</v>
      </c>
    </row>
    <row r="52">
      <c r="A52" t="inlineStr">
        <is>
          <t>DWS</t>
        </is>
      </c>
      <c r="B52" t="inlineStr">
        <is>
          <t>Xtrackers II Target Maturity Sept 2027 EUR Corporate Bond UCITS ETF 1D</t>
        </is>
      </c>
      <c r="C52" t="inlineStr">
        <is>
          <t>LU2673523218</t>
        </is>
      </c>
      <c r="D52" s="5" t="inlineStr">
        <is>
          <t>Corp</t>
        </is>
      </c>
      <c r="E52" s="5" t="inlineStr">
        <is>
          <t>Dist</t>
        </is>
      </c>
      <c r="F52" s="6" t="n">
        <v>46660</v>
      </c>
      <c r="G52" s="7">
        <f>IF(F52="","",MAX(0,YEARFRAC(TODAY(),F52)))</f>
        <v/>
      </c>
      <c r="H52" s="8" t="n">
        <v>0.0188</v>
      </c>
      <c r="I52" s="8" t="n">
        <v>0.03240000000000001</v>
      </c>
      <c r="J52" s="9" t="n">
        <v>0.0004</v>
      </c>
      <c r="K52" s="9" t="n">
        <v>0.0009</v>
      </c>
      <c r="L52" s="9" t="n"/>
      <c r="M52" s="8" t="n">
        <v>0.0012</v>
      </c>
      <c r="N52" s="10">
        <f>IF(D52="Govt",$B$1,$B$2)</f>
        <v/>
      </c>
      <c r="O52" s="8">
        <f>IF(I52="","",I52*(1-N52))</f>
        <v/>
      </c>
      <c r="P52" s="11">
        <f>IF(I52="","",(I52-M52)*(1-N52))</f>
        <v/>
      </c>
      <c r="Q52" s="12" t="n">
        <v>25.98</v>
      </c>
    </row>
    <row r="53">
      <c r="A53" t="inlineStr">
        <is>
          <t>DWS</t>
        </is>
      </c>
      <c r="B53" t="inlineStr">
        <is>
          <t>Xtrackers II Target Maturity Sept 2027 EUR Corporate Bond UCITS ETF 1C</t>
        </is>
      </c>
      <c r="C53" t="inlineStr">
        <is>
          <t>LU2673522830</t>
        </is>
      </c>
      <c r="D53" s="5" t="inlineStr">
        <is>
          <t>Corp</t>
        </is>
      </c>
      <c r="E53" s="5" t="inlineStr">
        <is>
          <t>Acc</t>
        </is>
      </c>
      <c r="F53" s="6" t="n">
        <v>46660</v>
      </c>
      <c r="G53" s="7">
        <f>IF(F53="","",MAX(0,YEARFRAC(TODAY(),F53)))</f>
        <v/>
      </c>
      <c r="H53" s="8" t="n">
        <v>0.0188</v>
      </c>
      <c r="I53" s="8" t="n">
        <v>0.03240000000000001</v>
      </c>
      <c r="J53" s="9" t="n">
        <v>0.0004</v>
      </c>
      <c r="K53" s="9" t="n">
        <v>0.0009</v>
      </c>
      <c r="L53" s="9" t="n"/>
      <c r="M53" s="8" t="n">
        <v>0.0012</v>
      </c>
      <c r="N53" s="10">
        <f>IF(D53="Govt",$B$1,$B$2)</f>
        <v/>
      </c>
      <c r="O53" s="8">
        <f>IF(I53="","",I53*(1-N53))</f>
        <v/>
      </c>
      <c r="P53" s="11">
        <f>IF(I53="","",(I53-M53)*(1-N53))</f>
        <v/>
      </c>
      <c r="Q53" s="12" t="n">
        <v>9.32</v>
      </c>
    </row>
    <row r="54">
      <c r="A54" t="inlineStr">
        <is>
          <t>iShares</t>
        </is>
      </c>
      <c r="B54" t="inlineStr">
        <is>
          <t>iShares iBonds Dec 2026 Term € Italy Govt Bond UCITS ETF</t>
        </is>
      </c>
      <c r="C54" t="inlineStr">
        <is>
          <t>IE000LZ7BZW8</t>
        </is>
      </c>
      <c r="D54" s="5" t="inlineStr">
        <is>
          <t>Govt</t>
        </is>
      </c>
      <c r="E54" s="5" t="inlineStr">
        <is>
          <t>Dist</t>
        </is>
      </c>
      <c r="F54" s="6" t="n">
        <v>46387</v>
      </c>
      <c r="G54" s="7">
        <f>IF(F54="","",MAX(0,YEARFRAC(TODAY(),F54)))</f>
        <v/>
      </c>
      <c r="H54" s="8" t="n">
        <v>0.008800000000000001</v>
      </c>
      <c r="I54" s="8" t="n">
        <v>0.027</v>
      </c>
      <c r="J54" s="9" t="n">
        <v>0.0001</v>
      </c>
      <c r="K54" s="9" t="n">
        <v>0.0005</v>
      </c>
      <c r="L54" s="9" t="n"/>
      <c r="M54" s="8" t="n">
        <v>0.0012</v>
      </c>
      <c r="N54" s="10">
        <f>IF(D54="Govt",$B$1,$B$2)</f>
        <v/>
      </c>
      <c r="O54" s="8">
        <f>IF(I54="","",I54*(1-N54))</f>
        <v/>
      </c>
      <c r="P54" s="11">
        <f>IF(I54="","",(I54-M54)*(1-N54))</f>
        <v/>
      </c>
      <c r="Q54" s="12" t="n">
        <v>5.06</v>
      </c>
    </row>
    <row r="55">
      <c r="A55" t="inlineStr">
        <is>
          <t>Amundi</t>
        </is>
      </c>
      <c r="B55" t="inlineStr">
        <is>
          <t>Amundi Fixed Maturity 2026 Euro Government Bond Broad UCITS ETF Acc</t>
        </is>
      </c>
      <c r="C55" t="inlineStr">
        <is>
          <t>LU2872291278</t>
        </is>
      </c>
      <c r="D55" s="5" t="inlineStr">
        <is>
          <t>Govt</t>
        </is>
      </c>
      <c r="E55" s="5" t="inlineStr">
        <is>
          <t>Acc</t>
        </is>
      </c>
      <c r="F55" s="6" t="n">
        <v>46387</v>
      </c>
      <c r="G55" s="7">
        <f>IF(F55="","",MAX(0,YEARFRAC(TODAY(),F55)))</f>
        <v/>
      </c>
      <c r="H55" s="8" t="n">
        <v>0.0021</v>
      </c>
      <c r="I55" s="8" t="n">
        <v>0.0266</v>
      </c>
      <c r="J55" s="9" t="n">
        <v>-0.0009</v>
      </c>
      <c r="K55" s="9" t="n">
        <v>0.0008</v>
      </c>
      <c r="L55" s="9" t="n"/>
      <c r="M55" s="8" t="n">
        <v>0.0009</v>
      </c>
      <c r="N55" s="10">
        <f>IF(D55="Govt",$B$1,$B$2)</f>
        <v/>
      </c>
      <c r="O55" s="8">
        <f>IF(I55="","",I55*(1-N55))</f>
        <v/>
      </c>
      <c r="P55" s="11">
        <f>IF(I55="","",(I55-M55)*(1-N55))</f>
        <v/>
      </c>
      <c r="Q55" s="12" t="n">
        <v>10.2696</v>
      </c>
    </row>
    <row r="56">
      <c r="A56" t="inlineStr">
        <is>
          <t>Invesco</t>
        </is>
      </c>
      <c r="B56" t="inlineStr">
        <is>
          <t>Invesco BulletShares 2026 EUR Corporate Bond UCITS ETF Acc</t>
        </is>
      </c>
      <c r="C56" t="inlineStr">
        <is>
          <t>IE0004QWOTD5</t>
        </is>
      </c>
      <c r="D56" s="5" t="inlineStr">
        <is>
          <t>Corp</t>
        </is>
      </c>
      <c r="E56" s="5" t="inlineStr">
        <is>
          <t>Acc</t>
        </is>
      </c>
      <c r="F56" s="6" t="n">
        <v>46387</v>
      </c>
      <c r="G56" s="7">
        <f>IF(F56="","",MAX(0,YEARFRAC(TODAY(),F56)))</f>
        <v/>
      </c>
      <c r="H56" s="8" t="n">
        <v>0.0109</v>
      </c>
      <c r="I56" s="8" t="n">
        <v>0.028</v>
      </c>
      <c r="J56" s="9" t="n">
        <v>0.0005999999999999999</v>
      </c>
      <c r="K56" s="9" t="n">
        <v>-0.0013</v>
      </c>
      <c r="L56" s="9" t="n"/>
      <c r="M56" s="8" t="n">
        <v>0.001</v>
      </c>
      <c r="N56" s="10">
        <f>IF(D56="Govt",$B$1,$B$2)</f>
        <v/>
      </c>
      <c r="O56" s="8">
        <f>IF(I56="","",I56*(1-N56))</f>
        <v/>
      </c>
      <c r="P56" s="11">
        <f>IF(I56="","",(I56-M56)*(1-N56))</f>
        <v/>
      </c>
      <c r="Q56" s="12" t="n">
        <v>5.7991</v>
      </c>
    </row>
    <row r="57">
      <c r="A57" t="inlineStr">
        <is>
          <t>Invesco</t>
        </is>
      </c>
      <c r="B57" t="inlineStr">
        <is>
          <t>Invesco BulletShares 2026 EUR Corporate Bond UCITS ETF Dist</t>
        </is>
      </c>
      <c r="C57" t="inlineStr">
        <is>
          <t>IE000AYJ75E5</t>
        </is>
      </c>
      <c r="D57" s="5" t="inlineStr">
        <is>
          <t>Corp</t>
        </is>
      </c>
      <c r="E57" s="5" t="inlineStr">
        <is>
          <t>Dist</t>
        </is>
      </c>
      <c r="F57" s="6" t="n">
        <v>46387</v>
      </c>
      <c r="G57" s="7">
        <f>IF(F57="","",MAX(0,YEARFRAC(TODAY(),F57)))</f>
        <v/>
      </c>
      <c r="H57" s="8" t="n">
        <v>0.0109</v>
      </c>
      <c r="I57" s="8" t="n">
        <v>0.028</v>
      </c>
      <c r="J57" s="9" t="n">
        <v>0.0005999999999999999</v>
      </c>
      <c r="K57" s="9" t="n">
        <v>-0.0013</v>
      </c>
      <c r="L57" s="9" t="n"/>
      <c r="M57" s="8" t="n">
        <v>0.001</v>
      </c>
      <c r="N57" s="10">
        <f>IF(D57="Govt",$B$1,$B$2)</f>
        <v/>
      </c>
      <c r="O57" s="8">
        <f>IF(I57="","",I57*(1-N57))</f>
        <v/>
      </c>
      <c r="P57" s="11">
        <f>IF(I57="","",(I57-M57)*(1-N57))</f>
        <v/>
      </c>
      <c r="Q57" s="12" t="n">
        <v>5.4224</v>
      </c>
    </row>
    <row r="58">
      <c r="A58" t="inlineStr">
        <is>
          <t>iShares</t>
        </is>
      </c>
      <c r="B58" t="inlineStr">
        <is>
          <t>iShares iBonds Dec 2026 Term € Corp UCITS ETF</t>
        </is>
      </c>
      <c r="C58" t="inlineStr">
        <is>
          <t>IE000SIZJ2B2</t>
        </is>
      </c>
      <c r="D58" s="5" t="inlineStr">
        <is>
          <t>Corp</t>
        </is>
      </c>
      <c r="E58" s="5" t="inlineStr">
        <is>
          <t>Dist</t>
        </is>
      </c>
      <c r="F58" s="6" t="n">
        <v>46387</v>
      </c>
      <c r="G58" s="7">
        <f>IF(F58="","",MAX(0,YEARFRAC(TODAY(),F58)))</f>
        <v/>
      </c>
      <c r="H58" s="8" t="n">
        <v>0.0044</v>
      </c>
      <c r="I58" s="8" t="n">
        <v>0.0274</v>
      </c>
      <c r="J58" s="9" t="n">
        <v>0.0005</v>
      </c>
      <c r="K58" s="9" t="n">
        <v>-0.0001</v>
      </c>
      <c r="L58" s="9" t="n"/>
      <c r="M58" s="8" t="n">
        <v>0.0012</v>
      </c>
      <c r="N58" s="10">
        <f>IF(D58="Govt",$B$1,$B$2)</f>
        <v/>
      </c>
      <c r="O58" s="8">
        <f>IF(I58="","",I58*(1-N58))</f>
        <v/>
      </c>
      <c r="P58" s="11">
        <f>IF(I58="","",(I58-M58)*(1-N58))</f>
        <v/>
      </c>
      <c r="Q58" s="12" t="n">
        <v>5.06</v>
      </c>
    </row>
  </sheetData>
  <conditionalFormatting sqref="J5:J58">
    <cfRule type="colorScale" priority="1">
      <colorScale>
        <cfvo type="num" val="-0.0025"/>
        <cfvo type="num" val="0"/>
        <cfvo type="num" val="0.0025"/>
        <color rgb="00F8696B"/>
        <color rgb="00FFFFFF"/>
        <color rgb="0063BE7B"/>
      </colorScale>
    </cfRule>
  </conditionalFormatting>
  <conditionalFormatting sqref="K5:K58">
    <cfRule type="colorScale" priority="2">
      <colorScale>
        <cfvo type="num" val="-0.0025"/>
        <cfvo type="num" val="0"/>
        <cfvo type="num" val="0.0025"/>
        <color rgb="00F8696B"/>
        <color rgb="00FFFFFF"/>
        <color rgb="0063BE7B"/>
      </colorScale>
    </cfRule>
  </conditionalFormatting>
  <conditionalFormatting sqref="L5:L58">
    <cfRule type="colorScale" priority="3">
      <colorScale>
        <cfvo type="num" val="-0.0025"/>
        <cfvo type="num" val="0"/>
        <cfvo type="num" val="0.0025"/>
        <color rgb="00F8696B"/>
        <color rgb="00FFFFFF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2026-10-28T08:03:09Z</dcterms:created>
  <dcterms:modified xmlns:dcterms="http://purl.org/dc/terms/" xmlns:xsi="http://www.w3.org/2001/XMLSchema-instance" xsi:type="dcterms:W3CDTF">2026-10-28T08:03:09Z</dcterms:modified>
</cp:coreProperties>
</file>